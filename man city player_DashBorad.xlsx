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我的雲端硬碟\自主學習\"/>
    </mc:Choice>
  </mc:AlternateContent>
  <bookViews>
    <workbookView xWindow="0" yWindow="0" windowWidth="21943" windowHeight="9291" tabRatio="898" activeTab="1"/>
  </bookViews>
  <sheets>
    <sheet name="name to web" sheetId="1" r:id="rId1"/>
    <sheet name="球員儀表板 (Dashboard)" sheetId="16" r:id="rId2"/>
    <sheet name="important data" sheetId="14" r:id="rId3"/>
    <sheet name="Ruben Dias" sheetId="2" r:id="rId4"/>
    <sheet name="Josko Gvardiol" sheetId="3" r:id="rId5"/>
    <sheet name="Kevin De Bruyne" sheetId="5" r:id="rId6"/>
    <sheet name="Mateo Kovacic" sheetId="6" r:id="rId7"/>
    <sheet name="Bernardo Silva" sheetId="8" r:id="rId8"/>
    <sheet name="Erling Haaland" sheetId="9" r:id="rId9"/>
    <sheet name="Jamal Musiala" sheetId="15" r:id="rId10"/>
    <sheet name="Robert Lewandowski" sheetId="4" r:id="rId11"/>
    <sheet name="Lamine Yamal" sheetId="7" r:id="rId12"/>
    <sheet name="Omar Marmoush" sheetId="10" r:id="rId13"/>
    <sheet name="Matheus Nunes" sheetId="11" r:id="rId14"/>
    <sheet name="Ilkay Gundogan" sheetId="12" r:id="rId15"/>
    <sheet name="Rico Lewis" sheetId="13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4" l="1"/>
  <c r="E3" i="14"/>
  <c r="F3" i="14"/>
  <c r="D4" i="14"/>
  <c r="E4" i="14"/>
  <c r="F4" i="14"/>
  <c r="O27" i="14" l="1"/>
  <c r="P27" i="14"/>
  <c r="Q27" i="14"/>
  <c r="O28" i="14"/>
  <c r="P28" i="14"/>
  <c r="Q28" i="14"/>
  <c r="K27" i="14"/>
  <c r="L27" i="14"/>
  <c r="M27" i="14"/>
  <c r="K28" i="14"/>
  <c r="L28" i="14"/>
  <c r="M28" i="14"/>
  <c r="J27" i="14"/>
  <c r="J28" i="14"/>
  <c r="H27" i="14"/>
  <c r="I27" i="14"/>
  <c r="H28" i="14"/>
  <c r="I28" i="14"/>
  <c r="K24" i="14"/>
  <c r="L24" i="14"/>
  <c r="M24" i="14"/>
  <c r="K25" i="14"/>
  <c r="L25" i="14"/>
  <c r="M25" i="14"/>
  <c r="J24" i="14"/>
  <c r="J25" i="14"/>
  <c r="H24" i="14"/>
  <c r="I24" i="14"/>
  <c r="H25" i="14"/>
  <c r="I25" i="14"/>
  <c r="O21" i="14"/>
  <c r="P21" i="14"/>
  <c r="Q21" i="14"/>
  <c r="O22" i="14"/>
  <c r="P22" i="14"/>
  <c r="Q22" i="14"/>
  <c r="K21" i="14"/>
  <c r="L21" i="14"/>
  <c r="M21" i="14"/>
  <c r="K22" i="14"/>
  <c r="L22" i="14"/>
  <c r="M22" i="14"/>
  <c r="J21" i="14"/>
  <c r="J22" i="14"/>
  <c r="H21" i="14"/>
  <c r="I21" i="14"/>
  <c r="H22" i="14"/>
  <c r="I22" i="14"/>
  <c r="K18" i="14"/>
  <c r="L18" i="14"/>
  <c r="M18" i="14"/>
  <c r="K19" i="14"/>
  <c r="L19" i="14"/>
  <c r="M19" i="14"/>
  <c r="J18" i="14"/>
  <c r="J19" i="14"/>
  <c r="H18" i="14"/>
  <c r="I18" i="14"/>
  <c r="H19" i="14"/>
  <c r="I19" i="14"/>
  <c r="Q15" i="14"/>
  <c r="O16" i="14"/>
  <c r="M15" i="14"/>
  <c r="K16" i="14"/>
  <c r="L16" i="14"/>
  <c r="M16" i="14"/>
  <c r="J16" i="14"/>
  <c r="H16" i="14"/>
  <c r="I16" i="14"/>
  <c r="O12" i="14"/>
  <c r="P12" i="14"/>
  <c r="Q12" i="14"/>
  <c r="O13" i="14"/>
  <c r="P13" i="14"/>
  <c r="Q13" i="14"/>
  <c r="K12" i="14"/>
  <c r="L12" i="14"/>
  <c r="M12" i="14"/>
  <c r="K13" i="14"/>
  <c r="L13" i="14"/>
  <c r="M13" i="14"/>
  <c r="J12" i="14"/>
  <c r="J13" i="14"/>
  <c r="H12" i="14"/>
  <c r="I12" i="14"/>
  <c r="H13" i="14"/>
  <c r="I13" i="14"/>
  <c r="D12" i="14"/>
  <c r="E12" i="14"/>
  <c r="F12" i="14"/>
  <c r="D13" i="14"/>
  <c r="E13" i="14"/>
  <c r="F13" i="14"/>
  <c r="O9" i="14"/>
  <c r="P9" i="14"/>
  <c r="Q9" i="14"/>
  <c r="O10" i="14"/>
  <c r="P10" i="14"/>
  <c r="Q10" i="14"/>
  <c r="K9" i="14"/>
  <c r="L9" i="14"/>
  <c r="M9" i="14"/>
  <c r="K10" i="14"/>
  <c r="L10" i="14"/>
  <c r="M10" i="14"/>
  <c r="J9" i="14"/>
  <c r="J10" i="14"/>
  <c r="H9" i="14"/>
  <c r="I9" i="14"/>
  <c r="H10" i="14"/>
  <c r="I10" i="14"/>
  <c r="O6" i="14"/>
  <c r="P6" i="14"/>
  <c r="Q6" i="14"/>
  <c r="O7" i="14"/>
  <c r="P7" i="14"/>
  <c r="Q7" i="14"/>
  <c r="K6" i="14"/>
  <c r="L6" i="14"/>
  <c r="M6" i="14"/>
  <c r="K7" i="14"/>
  <c r="L7" i="14"/>
  <c r="M7" i="14"/>
  <c r="J6" i="14"/>
  <c r="J7" i="14"/>
  <c r="H6" i="14"/>
  <c r="I6" i="14"/>
  <c r="H7" i="14"/>
  <c r="I7" i="14"/>
  <c r="D6" i="14"/>
  <c r="E6" i="14"/>
  <c r="F6" i="14"/>
  <c r="D7" i="14"/>
  <c r="E7" i="14"/>
  <c r="F7" i="14"/>
  <c r="AK9" i="7"/>
  <c r="AG9" i="7"/>
  <c r="AF9" i="7"/>
  <c r="AE9" i="7"/>
  <c r="AB9" i="7"/>
  <c r="AA9" i="7"/>
  <c r="Z9" i="7"/>
  <c r="X9" i="7"/>
  <c r="W9" i="7"/>
  <c r="V9" i="7"/>
  <c r="Q9" i="7"/>
  <c r="N9" i="7"/>
  <c r="M9" i="7"/>
  <c r="AK9" i="4"/>
  <c r="AG9" i="4"/>
  <c r="AF9" i="4"/>
  <c r="AE9" i="4"/>
  <c r="AB9" i="4"/>
  <c r="AA9" i="4"/>
  <c r="Z9" i="4"/>
  <c r="X9" i="4"/>
  <c r="W9" i="4"/>
  <c r="V9" i="4"/>
  <c r="Q9" i="4"/>
  <c r="N9" i="4"/>
  <c r="M9" i="4"/>
  <c r="AK9" i="15"/>
  <c r="AG9" i="15"/>
  <c r="AF9" i="15"/>
  <c r="AE9" i="15"/>
  <c r="AB9" i="15"/>
  <c r="AA9" i="15"/>
  <c r="Z9" i="15"/>
  <c r="X9" i="15"/>
  <c r="W9" i="15"/>
  <c r="V9" i="15"/>
  <c r="Q9" i="15"/>
  <c r="N9" i="15"/>
  <c r="M9" i="15"/>
  <c r="AK9" i="9"/>
  <c r="AG9" i="9"/>
  <c r="AF9" i="9"/>
  <c r="AE9" i="9"/>
  <c r="AB9" i="9"/>
  <c r="AA9" i="9"/>
  <c r="Z9" i="9"/>
  <c r="X9" i="9"/>
  <c r="W9" i="9"/>
  <c r="V9" i="9"/>
  <c r="Q9" i="9"/>
  <c r="N9" i="9"/>
  <c r="M9" i="9"/>
  <c r="AK9" i="8"/>
  <c r="AG9" i="8"/>
  <c r="Q16" i="14" s="1"/>
  <c r="AF9" i="8"/>
  <c r="P16" i="14" s="1"/>
  <c r="AE9" i="8"/>
  <c r="AB9" i="8"/>
  <c r="AA9" i="8"/>
  <c r="Z9" i="8"/>
  <c r="X9" i="8"/>
  <c r="W9" i="8"/>
  <c r="V9" i="8"/>
  <c r="Q9" i="8"/>
  <c r="N9" i="8"/>
  <c r="M9" i="8"/>
  <c r="AK9" i="6"/>
  <c r="AG9" i="6"/>
  <c r="AF9" i="6"/>
  <c r="AE9" i="6"/>
  <c r="AB9" i="6"/>
  <c r="AA9" i="6"/>
  <c r="Z9" i="6"/>
  <c r="X9" i="6"/>
  <c r="W9" i="6"/>
  <c r="V9" i="6"/>
  <c r="Q9" i="6"/>
  <c r="N9" i="6"/>
  <c r="M9" i="6"/>
  <c r="W9" i="5"/>
  <c r="W9" i="3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K9" i="5"/>
  <c r="AG9" i="5"/>
  <c r="AF9" i="5"/>
  <c r="AE9" i="5"/>
  <c r="AB9" i="5"/>
  <c r="AA9" i="5"/>
  <c r="Z9" i="5"/>
  <c r="X9" i="5"/>
  <c r="V9" i="5"/>
  <c r="Q9" i="5"/>
  <c r="N9" i="5"/>
  <c r="M9" i="5"/>
  <c r="M9" i="3"/>
  <c r="N9" i="3"/>
  <c r="Q9" i="3"/>
  <c r="V9" i="3"/>
  <c r="X9" i="3"/>
  <c r="Z9" i="3"/>
  <c r="AA9" i="3"/>
  <c r="AB9" i="3"/>
  <c r="AE9" i="3"/>
  <c r="AF9" i="3"/>
  <c r="AG9" i="3"/>
  <c r="AK9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B9" i="2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W9" i="2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AG9" i="2"/>
  <c r="AK9" i="2"/>
  <c r="X9" i="2"/>
  <c r="V9" i="2"/>
  <c r="AE9" i="2"/>
  <c r="AF9" i="2"/>
  <c r="AA9" i="2"/>
  <c r="Z9" i="2"/>
  <c r="N9" i="2"/>
  <c r="M9" i="2"/>
  <c r="Q9" i="2"/>
  <c r="AK8" i="8"/>
  <c r="AJ8" i="8"/>
  <c r="AI8" i="8"/>
  <c r="AH8" i="8"/>
  <c r="AG8" i="8"/>
  <c r="AF8" i="8"/>
  <c r="P15" i="14" s="1"/>
  <c r="AE8" i="8"/>
  <c r="O15" i="14" s="1"/>
  <c r="AD8" i="8"/>
  <c r="AC8" i="8"/>
  <c r="AB8" i="8"/>
  <c r="AA8" i="8"/>
  <c r="L15" i="14" s="1"/>
  <c r="Z8" i="8"/>
  <c r="K15" i="14" s="1"/>
  <c r="Y8" i="8"/>
  <c r="X8" i="8"/>
  <c r="W8" i="8"/>
  <c r="V8" i="8"/>
  <c r="U8" i="8"/>
  <c r="T8" i="8"/>
  <c r="S8" i="8"/>
  <c r="R8" i="8"/>
  <c r="Q8" i="8"/>
  <c r="J15" i="14" s="1"/>
  <c r="P8" i="8"/>
  <c r="O8" i="8"/>
  <c r="N8" i="8"/>
  <c r="I15" i="14" s="1"/>
  <c r="M8" i="8"/>
  <c r="H15" i="14" s="1"/>
  <c r="L8" i="8"/>
  <c r="AK8" i="6" l="1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</calcChain>
</file>

<file path=xl/sharedStrings.xml><?xml version="1.0" encoding="utf-8"?>
<sst xmlns="http://schemas.openxmlformats.org/spreadsheetml/2006/main" count="1565" uniqueCount="265">
  <si>
    <t>https://fbref.com/en/players/31c69ef1/Ruben-Dias</t>
  </si>
  <si>
    <t>https://fbref.com/en/players/5ad50391/Josko-Gvardiol</t>
  </si>
  <si>
    <t>https://fbref.com/en/players/d17ce930/Abdukodir-Khusanov</t>
  </si>
  <si>
    <t>https://fbref.com/en/players/79c0821a/Mateo-Kovacic</t>
  </si>
  <si>
    <t>https://fbref.com/en/players/ed1e53f3/Phil-Foden</t>
  </si>
  <si>
    <t>https://fbref.com/en/players/3eb22ec9/Bernardo-Silva</t>
  </si>
  <si>
    <t>https://fbref.com/en/players/1f44ac21/Erling-Haaland</t>
  </si>
  <si>
    <t>https://fbref.com/en/players/0e0102eb/Omar-Marmoush</t>
  </si>
  <si>
    <t>https://fbref.com/en/players/e6af02e0/Matheus-Nunes</t>
  </si>
  <si>
    <t>https://fbref.com/en/players/819b3158/Ilkay-Gundogan</t>
  </si>
  <si>
    <t>Mateo Kovacic</t>
    <phoneticPr fontId="1" type="noConversion"/>
  </si>
  <si>
    <t>Omar Marmoush</t>
    <phoneticPr fontId="1" type="noConversion"/>
  </si>
  <si>
    <t>Ilkay Gundogan</t>
    <phoneticPr fontId="1" type="noConversion"/>
  </si>
  <si>
    <t>Unnamed: 0_level_0</t>
  </si>
  <si>
    <t>Unnamed: 1_level_0</t>
  </si>
  <si>
    <t>Unnamed: 2_level_0</t>
  </si>
  <si>
    <t>Unnamed: 3_level_0</t>
  </si>
  <si>
    <t>Unnamed: 4_level_0</t>
  </si>
  <si>
    <t>Unnamed: 5_level_0</t>
  </si>
  <si>
    <t>Unnamed: 6_level_0</t>
  </si>
  <si>
    <t>Unnamed: 7_level_0</t>
  </si>
  <si>
    <t>Unnamed: 8_level_0</t>
  </si>
  <si>
    <t>Unnamed: 9_level_0</t>
  </si>
  <si>
    <t>Performance</t>
  </si>
  <si>
    <t>Expected</t>
  </si>
  <si>
    <t>SCA</t>
  </si>
  <si>
    <t>Passes</t>
  </si>
  <si>
    <t>Carries</t>
  </si>
  <si>
    <t>Take-Ons</t>
  </si>
  <si>
    <t>Unnamed: 35_level_0</t>
  </si>
  <si>
    <t>Date</t>
  </si>
  <si>
    <t>Day</t>
  </si>
  <si>
    <t>Round</t>
  </si>
  <si>
    <t>Venue</t>
  </si>
  <si>
    <t>Result</t>
  </si>
  <si>
    <t>Squad</t>
  </si>
  <si>
    <t>Opponent</t>
  </si>
  <si>
    <t>Start</t>
  </si>
  <si>
    <t>Pos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</si>
  <si>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</si>
  <si>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</si>
  <si>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</si>
  <si>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</si>
  <si>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</si>
  <si>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</si>
  <si>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</si>
  <si>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</si>
  <si>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</si>
  <si>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Touches</t>
  </si>
  <si>
    <t>Tkl</t>
  </si>
  <si>
    <t>Int</t>
  </si>
  <si>
    <t>Blocks</t>
  </si>
  <si>
    <t>xG</t>
  </si>
  <si>
    <t>npxG</t>
  </si>
  <si>
    <t>xAG</t>
  </si>
  <si>
    <t>GCA</t>
  </si>
  <si>
    <t>Cmp</t>
  </si>
  <si>
    <t>Att</t>
  </si>
  <si>
    <t>Cmp%</t>
  </si>
  <si>
    <t>PrgP</t>
  </si>
  <si>
    <t>PrgC</t>
  </si>
  <si>
    <t>Succ</t>
  </si>
  <si>
    <t>Match Report</t>
  </si>
  <si>
    <t>Sun</t>
  </si>
  <si>
    <t>Matchweek 31</t>
  </si>
  <si>
    <t>Away</t>
  </si>
  <si>
    <t>D 0–0</t>
  </si>
  <si>
    <t>Manchester City</t>
  </si>
  <si>
    <t>Manchester Utd</t>
  </si>
  <si>
    <t>Y</t>
  </si>
  <si>
    <t>CB</t>
  </si>
  <si>
    <t>Wed</t>
  </si>
  <si>
    <t>Matchweek 30</t>
  </si>
  <si>
    <t>Home</t>
  </si>
  <si>
    <t>W 2–0</t>
  </si>
  <si>
    <t>Leicester City</t>
  </si>
  <si>
    <t>Y*</t>
  </si>
  <si>
    <t>Sat</t>
  </si>
  <si>
    <t>Matchweek 29</t>
  </si>
  <si>
    <t>D 2–2</t>
  </si>
  <si>
    <t>Brighton</t>
  </si>
  <si>
    <t>Matchweek 28</t>
  </si>
  <si>
    <t>L 0–1</t>
  </si>
  <si>
    <t>Nott'ham Forest</t>
  </si>
  <si>
    <t>W 1–0</t>
  </si>
  <si>
    <t>Abdukodir Khusanov</t>
    <phoneticPr fontId="1" type="noConversion"/>
  </si>
  <si>
    <t>Unnamed: 36_level_0</t>
  </si>
  <si>
    <t>Comp</t>
  </si>
  <si>
    <t>L 0–2</t>
  </si>
  <si>
    <t>LB</t>
  </si>
  <si>
    <t>Kevin De Bruyne</t>
    <phoneticPr fontId="1" type="noConversion"/>
  </si>
  <si>
    <t>N</t>
  </si>
  <si>
    <t>CM</t>
  </si>
  <si>
    <t>Matchweek 26</t>
  </si>
  <si>
    <t>Liverpool</t>
  </si>
  <si>
    <t>Phil Foden</t>
    <phoneticPr fontId="1" type="noConversion"/>
  </si>
  <si>
    <t>Erling Haaland</t>
    <phoneticPr fontId="1" type="noConversion"/>
  </si>
  <si>
    <t>Matheus Nunes</t>
    <phoneticPr fontId="1" type="noConversion"/>
  </si>
  <si>
    <t>DM</t>
  </si>
  <si>
    <t>RB</t>
  </si>
  <si>
    <t>RW</t>
  </si>
  <si>
    <t>Crystal Palace</t>
  </si>
  <si>
    <t>Josko Gvardiol</t>
    <phoneticPr fontId="1" type="noConversion"/>
  </si>
  <si>
    <t>Tue</t>
  </si>
  <si>
    <t>https://fbref.com/en/players/b57e066e/all_comps/Rico-Lewis-Stats---All-Competitions</t>
    <phoneticPr fontId="1" type="noConversion"/>
  </si>
  <si>
    <t>https://fbref.com/en/players/e46012d4/all_comps/Kevin-De-Bruyne-Stats---All-Competitions</t>
    <phoneticPr fontId="1" type="noConversion"/>
  </si>
  <si>
    <t>FA Cup</t>
  </si>
  <si>
    <t>Unnamed: 10_level_0</t>
  </si>
  <si>
    <t>Premier League</t>
  </si>
  <si>
    <t>Matchweek 38</t>
  </si>
  <si>
    <t>Fulham</t>
  </si>
  <si>
    <t>Matchweek 37</t>
  </si>
  <si>
    <t>W 3–1</t>
  </si>
  <si>
    <t>Bournemouth</t>
  </si>
  <si>
    <t>Final</t>
  </si>
  <si>
    <t>Neutral</t>
  </si>
  <si>
    <t>Matchweek 36</t>
  </si>
  <si>
    <t>Southampton</t>
  </si>
  <si>
    <t>CM,AM</t>
  </si>
  <si>
    <t>Fri</t>
  </si>
  <si>
    <t>Matchweek 35</t>
  </si>
  <si>
    <t>Wolves</t>
  </si>
  <si>
    <t>AVERAGE</t>
    <phoneticPr fontId="1" type="noConversion"/>
  </si>
  <si>
    <t>Statistic</t>
  </si>
  <si>
    <t>Per 90</t>
  </si>
  <si>
    <t>Percentile</t>
  </si>
  <si>
    <t>Non-Penalty Goals</t>
  </si>
  <si>
    <t>npxG: Non-Penalty xG</t>
  </si>
  <si>
    <t>Shots Total</t>
  </si>
  <si>
    <t>Assists</t>
  </si>
  <si>
    <t>xAG: Exp. Assisted Goals</t>
  </si>
  <si>
    <t>npxG + xAG</t>
  </si>
  <si>
    <t>Shot-Creating Actions</t>
  </si>
  <si>
    <t>Passes Attempted</t>
  </si>
  <si>
    <t>Pass Completion %</t>
  </si>
  <si>
    <t>Progressive Passes</t>
  </si>
  <si>
    <t>Progressive Carries</t>
  </si>
  <si>
    <t>Successful Take-Ons</t>
  </si>
  <si>
    <t>Touches (Att Pen)</t>
  </si>
  <si>
    <t>Progressive Passes Rec</t>
  </si>
  <si>
    <t>Tackles</t>
  </si>
  <si>
    <t>Interceptions</t>
  </si>
  <si>
    <t>Clearances</t>
  </si>
  <si>
    <t>Aerials Won</t>
  </si>
  <si>
    <t>https://fbref.com/en/players/e46012d4/Kevin-De-Bruyne</t>
    <phoneticPr fontId="1" type="noConversion"/>
  </si>
  <si>
    <t>Ruben Dias</t>
    <phoneticPr fontId="1" type="noConversion"/>
  </si>
  <si>
    <t>https://fbref.com/en/players/31c69ef1/all_comps/Ruben-Dias-Stats---All-Competitions</t>
  </si>
  <si>
    <t>https://fbref.com/en/players/5ad50391/all_comps/Josko-Gvardiol-Stats---All-Competitions</t>
  </si>
  <si>
    <t>https://fbref.com/en/players/d17ce930/all_comps/Abdukodir-Khusanov-Stats---All-Competitions</t>
  </si>
  <si>
    <t>https://fbref.com/en/players/79c0821a/all_comps/Mateo-Kovacic-Stats---All-Competitions</t>
  </si>
  <si>
    <t>https://fbref.com/en/players/ed1e53f3/all_comps/Phil-Foden-Stats---All-Competitions</t>
  </si>
  <si>
    <t>http://fbref.com/en/players/3eb22ec9/all_comps/Bernardo-Silva-Stats---All-Competitions</t>
  </si>
  <si>
    <t>https://fbref.com/en/players/1f44ac21/all_comps/Erling-Haaland-Stats---All-Competitions</t>
  </si>
  <si>
    <t>https://fbref.com/en/players/0e0102eb/all_comps/Omar-Marmoush-Stats---All-Competitions</t>
  </si>
  <si>
    <t>https://fbref.com/en/players/e6af02e0/all_comps/Matheus-Nunes-Stats---All-Competitions</t>
  </si>
  <si>
    <t>https://fbref.com/en/players/819b3158/all_comps/Ilkay-Gundogan-Stats---All-Competitions</t>
  </si>
  <si>
    <t>Nico O’Reilly</t>
    <phoneticPr fontId="1" type="noConversion"/>
  </si>
  <si>
    <t>https://fbref.com/en/players/91ca4a16/Nico-OReilly</t>
  </si>
  <si>
    <t>https://fbref.com/en/players/91ca4a16/all_comps/Nico-OReilly-Stats---All-Competitions</t>
  </si>
  <si>
    <t>https://fbref.com/en/players/b57e066e/Rico-Lewis</t>
  </si>
  <si>
    <t>Nico Gonzalez</t>
    <phoneticPr fontId="1" type="noConversion"/>
  </si>
  <si>
    <t>https://fbref.com/en/players/2c56a792/Nicolas-Gonzalez</t>
  </si>
  <si>
    <t>Jeremy Doku</t>
    <phoneticPr fontId="1" type="noConversion"/>
  </si>
  <si>
    <t>Savinho</t>
    <phoneticPr fontId="1" type="noConversion"/>
  </si>
  <si>
    <t>https://fbref.com/en/players/fffea3e5/Jeremy-Doku</t>
  </si>
  <si>
    <t>https://fbref.com/en/players/fffea3e5/all_comps/Jeremy-Doku-Stats---All-Competitions</t>
  </si>
  <si>
    <t>https://fbref.com/en/players/fe6e7156/Savio</t>
  </si>
  <si>
    <t>https://fbref.com/en/players/fe6e7156/all_comps/Savio-Stats---All-Competitions</t>
  </si>
  <si>
    <t>UEFA Nations League</t>
  </si>
  <si>
    <t>Semi-finals</t>
  </si>
  <si>
    <t>W 2–1</t>
  </si>
  <si>
    <t>pt Portugal</t>
  </si>
  <si>
    <t>de Germany</t>
  </si>
  <si>
    <t>CB,LB</t>
  </si>
  <si>
    <t>Matchweek 34</t>
  </si>
  <si>
    <t>Aston Villa</t>
  </si>
  <si>
    <t>WCQ</t>
  </si>
  <si>
    <t>First round</t>
  </si>
  <si>
    <t>D 1–1</t>
  </si>
  <si>
    <t>be Belgium</t>
  </si>
  <si>
    <t>mk N. Macedonia</t>
  </si>
  <si>
    <t>AM</t>
  </si>
  <si>
    <t>Rico Lewis</t>
    <phoneticPr fontId="1" type="noConversion"/>
  </si>
  <si>
    <t>Bernardo Silva</t>
    <phoneticPr fontId="1" type="noConversion"/>
  </si>
  <si>
    <t>W 3–0</t>
  </si>
  <si>
    <t>no Norway</t>
  </si>
  <si>
    <t>it Italy</t>
  </si>
  <si>
    <t>FW</t>
  </si>
  <si>
    <t>No data</t>
    <phoneticPr fontId="1" type="noConversion"/>
  </si>
  <si>
    <t>CAREER</t>
    <phoneticPr fontId="1" type="noConversion"/>
  </si>
  <si>
    <t>https://fbref.com/en/players/2c56a792/all_comps/Nicolas-Gonzalez-Stats---All-Competitions</t>
    <phoneticPr fontId="1" type="noConversion"/>
  </si>
  <si>
    <t>Jamal Musiala</t>
    <phoneticPr fontId="1" type="noConversion"/>
  </si>
  <si>
    <t>https://fbref.com/en/players/2c0558b8/all_comps/Jamal-Musiala-Stats---All-Competitions</t>
  </si>
  <si>
    <t>https://fbref.com/en/players/2c0558b8/Jamal-Musiala</t>
  </si>
  <si>
    <t>Bundesliga</t>
  </si>
  <si>
    <t>Bayern Munich</t>
  </si>
  <si>
    <t>Augsburg</t>
  </si>
  <si>
    <t>Matchweek 27</t>
  </si>
  <si>
    <t>W 3–2</t>
  </si>
  <si>
    <t>St. Pauli</t>
  </si>
  <si>
    <t>Quarter-finals</t>
  </si>
  <si>
    <t>D 3–3</t>
  </si>
  <si>
    <t>Thu</t>
  </si>
  <si>
    <t>Union Berlin</t>
  </si>
  <si>
    <t>Ruben Dias</t>
    <phoneticPr fontId="1" type="noConversion"/>
  </si>
  <si>
    <t>Mateo Kovacic</t>
    <phoneticPr fontId="1" type="noConversion"/>
  </si>
  <si>
    <t>Jamal Musiala</t>
    <phoneticPr fontId="1" type="noConversion"/>
  </si>
  <si>
    <t>D 2 (5)–2 (3)</t>
  </si>
  <si>
    <t>es Spain</t>
  </si>
  <si>
    <t xml:space="preserve"> </t>
    <phoneticPr fontId="1" type="noConversion"/>
  </si>
  <si>
    <t>Tackles</t>
    <phoneticPr fontId="1" type="noConversion"/>
  </si>
  <si>
    <t>Interceptions</t>
    <phoneticPr fontId="1" type="noConversion"/>
  </si>
  <si>
    <t>Blocks</t>
    <phoneticPr fontId="1" type="noConversion"/>
  </si>
  <si>
    <t>Defence</t>
    <phoneticPr fontId="1" type="noConversion"/>
  </si>
  <si>
    <t>Lastest 5 games</t>
    <phoneticPr fontId="1" type="noConversion"/>
  </si>
  <si>
    <t>Career</t>
    <phoneticPr fontId="1" type="noConversion"/>
  </si>
  <si>
    <t>https://fbref.com/en/players/8d78e732/Robert-Lewandowski</t>
  </si>
  <si>
    <t>https://fbref.com/en/players/8d78e732/all_comps/Robert-Lewandowski-Stats---All-Competitions</t>
  </si>
  <si>
    <t>https://fbref.com/en/players/82ec26c1/Lamine-Yamal</t>
    <phoneticPr fontId="1" type="noConversion"/>
  </si>
  <si>
    <t>https://fbref.com/en/players/82ec26c1/all_comps/Lamine-Yamal-Stats---All-Competitions</t>
  </si>
  <si>
    <t>Robert Lewandowski</t>
    <phoneticPr fontId="1" type="noConversion"/>
  </si>
  <si>
    <t>La Liga</t>
  </si>
  <si>
    <t>Barcelona</t>
  </si>
  <si>
    <t>Athletic Club</t>
  </si>
  <si>
    <t>L 2–3</t>
  </si>
  <si>
    <t>Villarreal</t>
  </si>
  <si>
    <t>Espanyol</t>
  </si>
  <si>
    <t>Champions Lg</t>
  </si>
  <si>
    <t>L 3–4</t>
  </si>
  <si>
    <t>es Barcelona</t>
  </si>
  <si>
    <t>it Inter</t>
  </si>
  <si>
    <t>Matchweek 32</t>
  </si>
  <si>
    <t>W 4–3</t>
  </si>
  <si>
    <t>Celta Vigo</t>
  </si>
  <si>
    <t>Lamine Yamal</t>
    <phoneticPr fontId="1" type="noConversion"/>
  </si>
  <si>
    <t>D 2 (3)–2 (5)</t>
  </si>
  <si>
    <t>W 5–4</t>
  </si>
  <si>
    <t>fr France</t>
  </si>
  <si>
    <t>Robert Lewandowski</t>
    <phoneticPr fontId="1" type="noConversion"/>
  </si>
  <si>
    <t>Lamine Yamal</t>
    <phoneticPr fontId="1" type="noConversion"/>
  </si>
  <si>
    <t>Goals</t>
    <phoneticPr fontId="1" type="noConversion"/>
  </si>
  <si>
    <t>Assists</t>
    <phoneticPr fontId="1" type="noConversion"/>
  </si>
  <si>
    <t>Shots</t>
    <phoneticPr fontId="1" type="noConversion"/>
  </si>
  <si>
    <t>npxGoals</t>
    <phoneticPr fontId="1" type="noConversion"/>
  </si>
  <si>
    <t>xAG</t>
    <phoneticPr fontId="1" type="noConversion"/>
  </si>
  <si>
    <t>CAREER</t>
    <phoneticPr fontId="1" type="noConversion"/>
  </si>
  <si>
    <t>SCA</t>
    <phoneticPr fontId="1" type="noConversion"/>
  </si>
  <si>
    <t>Attack</t>
    <phoneticPr fontId="1" type="noConversion"/>
  </si>
  <si>
    <t>Attempt</t>
    <phoneticPr fontId="1" type="noConversion"/>
  </si>
  <si>
    <t xml:space="preserve">Bernardo Silva </t>
    <phoneticPr fontId="1" type="noConversion"/>
  </si>
  <si>
    <t>球員</t>
  </si>
  <si>
    <t>Ruben Dias</t>
  </si>
  <si>
    <t>Josko Gvardiol</t>
  </si>
  <si>
    <t>Kevin De Bruyne</t>
  </si>
  <si>
    <t>Mateo Kovacic</t>
  </si>
  <si>
    <t>Bernardo Silva</t>
  </si>
  <si>
    <t>Erling Haaland</t>
  </si>
  <si>
    <t>Jamal Musiala</t>
  </si>
  <si>
    <t>Robert Lewandowski</t>
  </si>
  <si>
    <t>Lamine Yamal</t>
  </si>
  <si>
    <t>近期進攻參與 (G+A)</t>
  </si>
  <si>
    <t>防守綜合貢獻 (Tkl+Int+Blocks)</t>
  </si>
  <si>
    <t>球員戰術儀表板 (近期狀態分析)</t>
  </si>
  <si>
    <t>近5場傳球成功率 (%)</t>
  </si>
  <si>
    <t>近5場推進傳球 (PrgP)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</si>
</sst>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b/>
      <sz val="24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  <xf numFmtId="10" fontId="0" fillId="0" borderId="0" xfId="0" applyNumberFormat="1">
      <alignment vertical="center"/>
    </xf>
    <xf numFmtId="0" fontId="0" fillId="3" borderId="0" xfId="0" applyFill="1">
      <alignment vertical="center"/>
    </xf>
    <xf numFmtId="0" fontId="2" fillId="3" borderId="0" xfId="1" applyFill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16" xfId="0" applyFill="1" applyBorder="1">
      <alignment vertical="center"/>
    </xf>
    <xf numFmtId="0" fontId="0" fillId="5" borderId="0" xfId="0" applyFill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0" xfId="0" applyFill="1">
      <alignment vertical="center"/>
    </xf>
    <xf numFmtId="0" fontId="0" fillId="6" borderId="10" xfId="0" applyFill="1" applyBorder="1">
      <alignment vertical="center"/>
    </xf>
    <xf numFmtId="0" fontId="0" fillId="6" borderId="11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4" xfId="0" applyFill="1" applyBorder="1">
      <alignment vertical="center"/>
    </xf>
    <xf numFmtId="0" fontId="0" fillId="6" borderId="5" xfId="0" applyFill="1" applyBorder="1">
      <alignment vertical="center"/>
    </xf>
    <xf numFmtId="0" fontId="0" fillId="6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6" borderId="7" xfId="0" applyFill="1" applyBorder="1">
      <alignment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'球員儀表板 (Dashboard)'!$E$4</c:f>
              <c:strCache>
                <c:ptCount val="1"/>
                <c:pt idx="0">
                  <c:v>近5場傳球成功率 (%)</c:v>
                </c:pt>
              </c:strCache>
            </c:strRef>
          </c:tx>
          <c:invertIfNegative val="0"/>
          <c:cat>
            <c:strRef>
              <c:f>'球員儀表板 (Dashboard)'!$B$5:$B$13</c:f>
              <c:strCache>
                <c:ptCount val="9"/>
                <c:pt idx="0">
                  <c:v>Ruben Dias</c:v>
                </c:pt>
                <c:pt idx="1">
                  <c:v>Josko Gvardiol</c:v>
                </c:pt>
                <c:pt idx="2">
                  <c:v>Kevin De Bruyne</c:v>
                </c:pt>
                <c:pt idx="3">
                  <c:v>Mateo Kovacic</c:v>
                </c:pt>
                <c:pt idx="4">
                  <c:v>Bernardo Silva</c:v>
                </c:pt>
                <c:pt idx="5">
                  <c:v>Erling Haaland</c:v>
                </c:pt>
                <c:pt idx="6">
                  <c:v>Jamal Musiala</c:v>
                </c:pt>
                <c:pt idx="7">
                  <c:v>Robert Lewandowski</c:v>
                </c:pt>
                <c:pt idx="8">
                  <c:v>Lamine Yamal</c:v>
                </c:pt>
              </c:strCache>
            </c:strRef>
          </c:cat>
          <c:val>
            <c:numRef>
              <c:f>'球員儀表板 (Dashboard)'!$E$5:$E$13</c:f>
              <c:numCache>
                <c:formatCode>General</c:formatCode>
                <c:ptCount val="9"/>
                <c:pt idx="0">
                  <c:v>94.2</c:v>
                </c:pt>
                <c:pt idx="1">
                  <c:v>83.6</c:v>
                </c:pt>
                <c:pt idx="2">
                  <c:v>74.7</c:v>
                </c:pt>
                <c:pt idx="3">
                  <c:v>89.8</c:v>
                </c:pt>
                <c:pt idx="4">
                  <c:v>83.5</c:v>
                </c:pt>
                <c:pt idx="5">
                  <c:v>68.2</c:v>
                </c:pt>
                <c:pt idx="6">
                  <c:v>68.2</c:v>
                </c:pt>
                <c:pt idx="7">
                  <c:v>66.400000000000006</c:v>
                </c:pt>
                <c:pt idx="8">
                  <c:v>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E-4E1D-9E56-E3E3D59E69AD}"/>
            </c:ext>
          </c:extLst>
        </c:ser>
        <c:ser>
          <c:idx val="1"/>
          <c:order val="1"/>
          <c:tx>
            <c:strRef>
              <c:f>'球員儀表板 (Dashboard)'!$F$4</c:f>
              <c:strCache>
                <c:ptCount val="1"/>
                <c:pt idx="0">
                  <c:v>近5場推進傳球 (PrgP)</c:v>
                </c:pt>
              </c:strCache>
            </c:strRef>
          </c:tx>
          <c:invertIfNegative val="0"/>
          <c:cat>
            <c:strRef>
              <c:f>'球員儀表板 (Dashboard)'!$B$5:$B$13</c:f>
              <c:strCache>
                <c:ptCount val="9"/>
                <c:pt idx="0">
                  <c:v>Ruben Dias</c:v>
                </c:pt>
                <c:pt idx="1">
                  <c:v>Josko Gvardiol</c:v>
                </c:pt>
                <c:pt idx="2">
                  <c:v>Kevin De Bruyne</c:v>
                </c:pt>
                <c:pt idx="3">
                  <c:v>Mateo Kovacic</c:v>
                </c:pt>
                <c:pt idx="4">
                  <c:v>Bernardo Silva</c:v>
                </c:pt>
                <c:pt idx="5">
                  <c:v>Erling Haaland</c:v>
                </c:pt>
                <c:pt idx="6">
                  <c:v>Jamal Musiala</c:v>
                </c:pt>
                <c:pt idx="7">
                  <c:v>Robert Lewandowski</c:v>
                </c:pt>
                <c:pt idx="8">
                  <c:v>Lamine Yamal</c:v>
                </c:pt>
              </c:strCache>
            </c:strRef>
          </c:cat>
          <c:val>
            <c:numRef>
              <c:f>'球員儀表板 (Dashboard)'!$F$5:$F$13</c:f>
              <c:numCache>
                <c:formatCode>General</c:formatCode>
                <c:ptCount val="9"/>
                <c:pt idx="0">
                  <c:v>25</c:v>
                </c:pt>
                <c:pt idx="1">
                  <c:v>22</c:v>
                </c:pt>
                <c:pt idx="2">
                  <c:v>29</c:v>
                </c:pt>
                <c:pt idx="3">
                  <c:v>27</c:v>
                </c:pt>
                <c:pt idx="4">
                  <c:v>25</c:v>
                </c:pt>
                <c:pt idx="5">
                  <c:v>2</c:v>
                </c:pt>
                <c:pt idx="6">
                  <c:v>13</c:v>
                </c:pt>
                <c:pt idx="7">
                  <c:v>6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E-4E1D-9E56-E3E3D59E6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2975647"/>
        <c:axId val="662971487"/>
      </c:barChart>
      <c:catAx>
        <c:axId val="662975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62971487"/>
        <c:crosses val="autoZero"/>
        <c:auto val="1"/>
        <c:lblAlgn val="ctr"/>
        <c:lblOffset val="100"/>
        <c:noMultiLvlLbl val="0"/>
      </c:catAx>
      <c:valAx>
        <c:axId val="6629714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2975647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'球員儀表板 (Dashboard)'!$E$4</c:f>
              <c:strCache>
                <c:ptCount val="1"/>
                <c:pt idx="0">
                  <c:v>近5場傳球成功率 (%)</c:v>
                </c:pt>
              </c:strCache>
            </c:strRef>
          </c:tx>
          <c:invertIfNegative val="0"/>
          <c:cat>
            <c:strRef>
              <c:f>'球員儀表板 (Dashboard)'!$B$5:$B$13</c:f>
              <c:strCache>
                <c:ptCount val="9"/>
                <c:pt idx="0">
                  <c:v>Ruben Dias</c:v>
                </c:pt>
                <c:pt idx="1">
                  <c:v>Josko Gvardiol</c:v>
                </c:pt>
                <c:pt idx="2">
                  <c:v>Kevin De Bruyne</c:v>
                </c:pt>
                <c:pt idx="3">
                  <c:v>Mateo Kovacic</c:v>
                </c:pt>
                <c:pt idx="4">
                  <c:v>Bernardo Silva</c:v>
                </c:pt>
                <c:pt idx="5">
                  <c:v>Erling Haaland</c:v>
                </c:pt>
                <c:pt idx="6">
                  <c:v>Jamal Musiala</c:v>
                </c:pt>
                <c:pt idx="7">
                  <c:v>Robert Lewandowski</c:v>
                </c:pt>
                <c:pt idx="8">
                  <c:v>Lamine Yamal</c:v>
                </c:pt>
              </c:strCache>
            </c:strRef>
          </c:cat>
          <c:val>
            <c:numRef>
              <c:f>'球員儀表板 (Dashboard)'!$E$5:$E$13</c:f>
              <c:numCache>
                <c:formatCode>General</c:formatCode>
                <c:ptCount val="9"/>
                <c:pt idx="0">
                  <c:v>94.2</c:v>
                </c:pt>
                <c:pt idx="1">
                  <c:v>83.6</c:v>
                </c:pt>
                <c:pt idx="2">
                  <c:v>74.7</c:v>
                </c:pt>
                <c:pt idx="3">
                  <c:v>89.8</c:v>
                </c:pt>
                <c:pt idx="4">
                  <c:v>83.5</c:v>
                </c:pt>
                <c:pt idx="5">
                  <c:v>68.2</c:v>
                </c:pt>
                <c:pt idx="6">
                  <c:v>68.2</c:v>
                </c:pt>
                <c:pt idx="7">
                  <c:v>66.400000000000006</c:v>
                </c:pt>
                <c:pt idx="8">
                  <c:v>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9-4ADE-BC67-E12BD4FA8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5669952"/>
        <c:axId val="1645674112"/>
      </c:barChart>
      <c:catAx>
        <c:axId val="1645669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45674112"/>
        <c:crosses val="autoZero"/>
        <c:auto val="1"/>
        <c:lblAlgn val="ctr"/>
        <c:lblOffset val="100"/>
        <c:noMultiLvlLbl val="0"/>
      </c:catAx>
      <c:valAx>
        <c:axId val="16456741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45669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近</a:t>
            </a:r>
            <a:r>
              <a:rPr lang="en-US" altLang="zh-TW"/>
              <a:t>5</a:t>
            </a:r>
            <a:r>
              <a:rPr lang="zh-TW" altLang="en-US"/>
              <a:t>場推進傳球 </a:t>
            </a:r>
            <a:r>
              <a:rPr lang="en-US" altLang="zh-TW"/>
              <a:t>(PrgP)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'球員儀表板 (Dashboard)'!$F$4</c:f>
              <c:strCache>
                <c:ptCount val="1"/>
                <c:pt idx="0">
                  <c:v>近5場推進傳球 (PrgP)</c:v>
                </c:pt>
              </c:strCache>
            </c:strRef>
          </c:tx>
          <c:invertIfNegative val="0"/>
          <c:cat>
            <c:strRef>
              <c:f>'球員儀表板 (Dashboard)'!$B$5:$B$13</c:f>
              <c:strCache>
                <c:ptCount val="9"/>
                <c:pt idx="0">
                  <c:v>Ruben Dias</c:v>
                </c:pt>
                <c:pt idx="1">
                  <c:v>Josko Gvardiol</c:v>
                </c:pt>
                <c:pt idx="2">
                  <c:v>Kevin De Bruyne</c:v>
                </c:pt>
                <c:pt idx="3">
                  <c:v>Mateo Kovacic</c:v>
                </c:pt>
                <c:pt idx="4">
                  <c:v>Bernardo Silva</c:v>
                </c:pt>
                <c:pt idx="5">
                  <c:v>Erling Haaland</c:v>
                </c:pt>
                <c:pt idx="6">
                  <c:v>Jamal Musiala</c:v>
                </c:pt>
                <c:pt idx="7">
                  <c:v>Robert Lewandowski</c:v>
                </c:pt>
                <c:pt idx="8">
                  <c:v>Lamine Yamal</c:v>
                </c:pt>
              </c:strCache>
            </c:strRef>
          </c:cat>
          <c:val>
            <c:numRef>
              <c:f>'球員儀表板 (Dashboard)'!$F$5:$F$13</c:f>
              <c:numCache>
                <c:formatCode>General</c:formatCode>
                <c:ptCount val="9"/>
                <c:pt idx="0">
                  <c:v>25</c:v>
                </c:pt>
                <c:pt idx="1">
                  <c:v>22</c:v>
                </c:pt>
                <c:pt idx="2">
                  <c:v>29</c:v>
                </c:pt>
                <c:pt idx="3">
                  <c:v>27</c:v>
                </c:pt>
                <c:pt idx="4">
                  <c:v>25</c:v>
                </c:pt>
                <c:pt idx="5">
                  <c:v>2</c:v>
                </c:pt>
                <c:pt idx="6">
                  <c:v>13</c:v>
                </c:pt>
                <c:pt idx="7">
                  <c:v>6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1-4F64-9A94-8AAC671A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5673696"/>
        <c:axId val="1645674528"/>
      </c:barChart>
      <c:catAx>
        <c:axId val="1645673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45674528"/>
        <c:crosses val="autoZero"/>
        <c:auto val="1"/>
        <c:lblAlgn val="ctr"/>
        <c:lblOffset val="100"/>
        <c:noMultiLvlLbl val="0"/>
      </c:catAx>
      <c:valAx>
        <c:axId val="16456745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45673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'球員儀表板 (Dashboard)'!$C$4</c:f>
              <c:strCache>
                <c:ptCount val="1"/>
                <c:pt idx="0">
                  <c:v>近期進攻參與 (G+A)</c:v>
                </c:pt>
              </c:strCache>
            </c:strRef>
          </c:tx>
          <c:invertIfNegative val="0"/>
          <c:cat>
            <c:strRef>
              <c:f>'球員儀表板 (Dashboard)'!$B$5:$B$13</c:f>
              <c:strCache>
                <c:ptCount val="9"/>
                <c:pt idx="0">
                  <c:v>Ruben Dias</c:v>
                </c:pt>
                <c:pt idx="1">
                  <c:v>Josko Gvardiol</c:v>
                </c:pt>
                <c:pt idx="2">
                  <c:v>Kevin De Bruyne</c:v>
                </c:pt>
                <c:pt idx="3">
                  <c:v>Mateo Kovacic</c:v>
                </c:pt>
                <c:pt idx="4">
                  <c:v>Bernardo Silva</c:v>
                </c:pt>
                <c:pt idx="5">
                  <c:v>Erling Haaland</c:v>
                </c:pt>
                <c:pt idx="6">
                  <c:v>Jamal Musiala</c:v>
                </c:pt>
                <c:pt idx="7">
                  <c:v>Robert Lewandowski</c:v>
                </c:pt>
                <c:pt idx="8">
                  <c:v>Lamine Yamal</c:v>
                </c:pt>
              </c:strCache>
            </c:strRef>
          </c:cat>
          <c:val>
            <c:numRef>
              <c:f>'球員儀表板 (Dashboard)'!$C$5:$C$13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6-40AD-8DAF-822E259F6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2834111"/>
        <c:axId val="2112847423"/>
      </c:barChart>
      <c:catAx>
        <c:axId val="2112834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12847423"/>
        <c:crosses val="autoZero"/>
        <c:auto val="1"/>
        <c:lblAlgn val="ctr"/>
        <c:lblOffset val="100"/>
        <c:noMultiLvlLbl val="0"/>
      </c:catAx>
      <c:valAx>
        <c:axId val="2112847423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1283411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'球員儀表板 (Dashboard)'!$D$4</c:f>
              <c:strCache>
                <c:ptCount val="1"/>
                <c:pt idx="0">
                  <c:v>防守綜合貢獻 (Tkl+Int+Blocks)</c:v>
                </c:pt>
              </c:strCache>
            </c:strRef>
          </c:tx>
          <c:invertIfNegative val="0"/>
          <c:cat>
            <c:strRef>
              <c:f>'球員儀表板 (Dashboard)'!$B$5:$B$13</c:f>
              <c:strCache>
                <c:ptCount val="9"/>
                <c:pt idx="0">
                  <c:v>Ruben Dias</c:v>
                </c:pt>
                <c:pt idx="1">
                  <c:v>Josko Gvardiol</c:v>
                </c:pt>
                <c:pt idx="2">
                  <c:v>Kevin De Bruyne</c:v>
                </c:pt>
                <c:pt idx="3">
                  <c:v>Mateo Kovacic</c:v>
                </c:pt>
                <c:pt idx="4">
                  <c:v>Bernardo Silva</c:v>
                </c:pt>
                <c:pt idx="5">
                  <c:v>Erling Haaland</c:v>
                </c:pt>
                <c:pt idx="6">
                  <c:v>Jamal Musiala</c:v>
                </c:pt>
                <c:pt idx="7">
                  <c:v>Robert Lewandowski</c:v>
                </c:pt>
                <c:pt idx="8">
                  <c:v>Lamine Yamal</c:v>
                </c:pt>
              </c:strCache>
            </c:strRef>
          </c:cat>
          <c:val>
            <c:numRef>
              <c:f>'球員儀表板 (Dashboard)'!$D$5:$D$13</c:f>
              <c:numCache>
                <c:formatCode>General</c:formatCode>
                <c:ptCount val="9"/>
                <c:pt idx="0">
                  <c:v>11</c:v>
                </c:pt>
                <c:pt idx="1">
                  <c:v>17</c:v>
                </c:pt>
                <c:pt idx="2">
                  <c:v>0</c:v>
                </c:pt>
                <c:pt idx="3">
                  <c:v>19</c:v>
                </c:pt>
                <c:pt idx="4">
                  <c:v>12</c:v>
                </c:pt>
                <c:pt idx="5">
                  <c:v>4</c:v>
                </c:pt>
                <c:pt idx="6">
                  <c:v>13</c:v>
                </c:pt>
                <c:pt idx="7">
                  <c:v>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7-4FF0-90EF-5FFF4FDA1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2834527"/>
        <c:axId val="2112832031"/>
      </c:barChart>
      <c:catAx>
        <c:axId val="21128345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12832031"/>
        <c:crosses val="autoZero"/>
        <c:auto val="1"/>
        <c:lblAlgn val="ctr"/>
        <c:lblOffset val="100"/>
        <c:noMultiLvlLbl val="0"/>
      </c:catAx>
      <c:valAx>
        <c:axId val="2112832031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12834527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'球員儀表板 (Dashboard)'!$C$4</c:f>
              <c:strCache>
                <c:ptCount val="1"/>
                <c:pt idx="0">
                  <c:v>近期進攻參與 (G+A)</c:v>
                </c:pt>
              </c:strCache>
            </c:strRef>
          </c:tx>
          <c:invertIfNegative val="0"/>
          <c:cat>
            <c:strRef>
              <c:f>'球員儀表板 (Dashboard)'!$B$5:$B$13</c:f>
              <c:strCache>
                <c:ptCount val="9"/>
                <c:pt idx="0">
                  <c:v>Ruben Dias</c:v>
                </c:pt>
                <c:pt idx="1">
                  <c:v>Josko Gvardiol</c:v>
                </c:pt>
                <c:pt idx="2">
                  <c:v>Kevin De Bruyne</c:v>
                </c:pt>
                <c:pt idx="3">
                  <c:v>Mateo Kovacic</c:v>
                </c:pt>
                <c:pt idx="4">
                  <c:v>Bernardo Silva</c:v>
                </c:pt>
                <c:pt idx="5">
                  <c:v>Erling Haaland</c:v>
                </c:pt>
                <c:pt idx="6">
                  <c:v>Jamal Musiala</c:v>
                </c:pt>
                <c:pt idx="7">
                  <c:v>Robert Lewandowski</c:v>
                </c:pt>
                <c:pt idx="8">
                  <c:v>Lamine Yamal</c:v>
                </c:pt>
              </c:strCache>
            </c:strRef>
          </c:cat>
          <c:val>
            <c:numRef>
              <c:f>'球員儀表板 (Dashboard)'!$C$5:$C$13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6-4F35-AA77-884DF3836B88}"/>
            </c:ext>
          </c:extLst>
        </c:ser>
        <c:ser>
          <c:idx val="1"/>
          <c:order val="1"/>
          <c:tx>
            <c:strRef>
              <c:f>'球員儀表板 (Dashboard)'!$D$4</c:f>
              <c:strCache>
                <c:ptCount val="1"/>
                <c:pt idx="0">
                  <c:v>防守綜合貢獻 (Tkl+Int+Blocks)</c:v>
                </c:pt>
              </c:strCache>
            </c:strRef>
          </c:tx>
          <c:invertIfNegative val="0"/>
          <c:cat>
            <c:strRef>
              <c:f>'球員儀表板 (Dashboard)'!$B$5:$B$13</c:f>
              <c:strCache>
                <c:ptCount val="9"/>
                <c:pt idx="0">
                  <c:v>Ruben Dias</c:v>
                </c:pt>
                <c:pt idx="1">
                  <c:v>Josko Gvardiol</c:v>
                </c:pt>
                <c:pt idx="2">
                  <c:v>Kevin De Bruyne</c:v>
                </c:pt>
                <c:pt idx="3">
                  <c:v>Mateo Kovacic</c:v>
                </c:pt>
                <c:pt idx="4">
                  <c:v>Bernardo Silva</c:v>
                </c:pt>
                <c:pt idx="5">
                  <c:v>Erling Haaland</c:v>
                </c:pt>
                <c:pt idx="6">
                  <c:v>Jamal Musiala</c:v>
                </c:pt>
                <c:pt idx="7">
                  <c:v>Robert Lewandowski</c:v>
                </c:pt>
                <c:pt idx="8">
                  <c:v>Lamine Yamal</c:v>
                </c:pt>
              </c:strCache>
            </c:strRef>
          </c:cat>
          <c:val>
            <c:numRef>
              <c:f>'球員儀表板 (Dashboard)'!$D$5:$D$13</c:f>
              <c:numCache>
                <c:formatCode>General</c:formatCode>
                <c:ptCount val="9"/>
                <c:pt idx="0">
                  <c:v>11</c:v>
                </c:pt>
                <c:pt idx="1">
                  <c:v>17</c:v>
                </c:pt>
                <c:pt idx="2">
                  <c:v>0</c:v>
                </c:pt>
                <c:pt idx="3">
                  <c:v>19</c:v>
                </c:pt>
                <c:pt idx="4">
                  <c:v>12</c:v>
                </c:pt>
                <c:pt idx="5">
                  <c:v>4</c:v>
                </c:pt>
                <c:pt idx="6">
                  <c:v>13</c:v>
                </c:pt>
                <c:pt idx="7">
                  <c:v>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6-4F35-AA77-884DF383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1013791"/>
        <c:axId val="451015039"/>
      </c:barChart>
      <c:catAx>
        <c:axId val="451013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1015039"/>
        <c:crosses val="autoZero"/>
        <c:auto val="1"/>
        <c:lblAlgn val="ctr"/>
        <c:lblOffset val="100"/>
        <c:noMultiLvlLbl val="0"/>
      </c:catAx>
      <c:valAx>
        <c:axId val="4510150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101379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6404</xdr:colOff>
      <xdr:row>14</xdr:row>
      <xdr:rowOff>99359</xdr:rowOff>
    </xdr:from>
    <xdr:to>
      <xdr:col>3</xdr:col>
      <xdr:colOff>947241</xdr:colOff>
      <xdr:row>34</xdr:row>
      <xdr:rowOff>119834</xdr:rowOff>
    </xdr:to>
    <xdr:graphicFrame macro="">
      <xdr:nvGraphicFramePr>
        <xdr:cNvPr id="2" name="賽季整體進攻貢獻 (進球+助攻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27709</xdr:colOff>
      <xdr:row>35</xdr:row>
      <xdr:rowOff>146112</xdr:rowOff>
    </xdr:from>
    <xdr:to>
      <xdr:col>3</xdr:col>
      <xdr:colOff>922084</xdr:colOff>
      <xdr:row>53</xdr:row>
      <xdr:rowOff>64036</xdr:rowOff>
    </xdr:to>
    <xdr:graphicFrame macro="">
      <xdr:nvGraphicFramePr>
        <xdr:cNvPr id="4" name="近期進攻火力 (近5場 G+A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1151093</xdr:colOff>
      <xdr:row>35</xdr:row>
      <xdr:rowOff>159123</xdr:rowOff>
    </xdr:from>
    <xdr:to>
      <xdr:col>7</xdr:col>
      <xdr:colOff>441832</xdr:colOff>
      <xdr:row>53</xdr:row>
      <xdr:rowOff>76841</xdr:rowOff>
    </xdr:to>
    <xdr:graphicFrame macro="">
      <xdr:nvGraphicFramePr>
        <xdr:cNvPr id="5" name="近期防守貢獻 (近5場 Tkl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1159009</xdr:colOff>
      <xdr:row>54</xdr:row>
      <xdr:rowOff>204907</xdr:rowOff>
    </xdr:from>
    <xdr:to>
      <xdr:col>7</xdr:col>
      <xdr:colOff>416219</xdr:colOff>
      <xdr:row>73</xdr:row>
      <xdr:rowOff>166488</xdr:rowOff>
    </xdr:to>
    <xdr:graphicFrame macro="">
      <xdr:nvGraphicFramePr>
        <xdr:cNvPr id="3" name="近期進攻火力 (G+A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60093</xdr:colOff>
      <xdr:row>54</xdr:row>
      <xdr:rowOff>176198</xdr:rowOff>
    </xdr:from>
    <xdr:to>
      <xdr:col>3</xdr:col>
      <xdr:colOff>915681</xdr:colOff>
      <xdr:row>73</xdr:row>
      <xdr:rowOff>185697</xdr:rowOff>
    </xdr:to>
    <xdr:graphicFrame macro="">
      <xdr:nvGraphicFramePr>
        <xdr:cNvPr id="6" name="近期防守貢獻 (Tkl+Int+Block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1167742</xdr:colOff>
      <xdr:row>14</xdr:row>
      <xdr:rowOff>101108</xdr:rowOff>
    </xdr:from>
    <xdr:to>
      <xdr:col>7</xdr:col>
      <xdr:colOff>484909</xdr:colOff>
      <xdr:row>34</xdr:row>
      <xdr:rowOff>158338</xdr:rowOff>
    </xdr:to>
    <xdr:graphicFrame macro="">
      <xdr:nvGraphicFramePr>
        <xdr:cNvPr id="7" name="近期攻守綜合貢獻 (近5場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layerDashboard" displayName="PlayerDashboard" ref="B4:F13" totalsRowShown="0">
  <autoFilter ref="B4:F13"/>
  <tableColumns count="5">
    <tableColumn id="1" name="球員"/>
    <tableColumn id="2" name="近期進攻參與 (G+A)"/>
    <tableColumn id="3" name="防守綜合貢獻 (Tkl+Int+Blocks)"/>
    <tableColumn id="4" name="近5場傳球成功率 (%)"/>
    <tableColumn id="5" name="近5場推進傳球 (PrgP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ref.com/en/players/e46012d4/Kevin-De-Bruyne" TargetMode="External"/><Relationship Id="rId2" Type="http://schemas.openxmlformats.org/officeDocument/2006/relationships/hyperlink" Target="https://fbref.com/en/players/e46012d4/all_comps/Kevin-De-Bruyne-Stats---All-Competitions" TargetMode="External"/><Relationship Id="rId1" Type="http://schemas.openxmlformats.org/officeDocument/2006/relationships/hyperlink" Target="https://fbref.com/en/players/b57e066e/all_comps/Rico-Lewis-Stats---All-Competition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fbref.com/en/players/82ec26c1/Lamine-Yamal" TargetMode="External"/><Relationship Id="rId4" Type="http://schemas.openxmlformats.org/officeDocument/2006/relationships/hyperlink" Target="https://fbref.com/en/players/2c56a792/all_comps/Nicolas-Gonzalez-Stats---All-Competitio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zoomScale="71" workbookViewId="0">
      <selection activeCell="A5" sqref="A5"/>
    </sheetView>
  </sheetViews>
  <sheetFormatPr defaultRowHeight="16.75" x14ac:dyDescent="0.45"/>
  <cols>
    <col min="1" max="1" width="21.23046875" customWidth="1"/>
    <col min="2" max="2" width="81" customWidth="1"/>
    <col min="3" max="3" width="56.921875" customWidth="1"/>
    <col min="5" max="5" width="9.23046875" customWidth="1"/>
    <col min="6" max="6" width="6.84375" customWidth="1"/>
  </cols>
  <sheetData>
    <row r="1" spans="1:3" x14ac:dyDescent="0.45">
      <c r="A1" s="1" t="s">
        <v>145</v>
      </c>
      <c r="B1" t="s">
        <v>146</v>
      </c>
      <c r="C1" t="s">
        <v>0</v>
      </c>
    </row>
    <row r="2" spans="1:3" x14ac:dyDescent="0.45">
      <c r="A2" t="s">
        <v>102</v>
      </c>
      <c r="B2" t="s">
        <v>147</v>
      </c>
      <c r="C2" t="s">
        <v>1</v>
      </c>
    </row>
    <row r="3" spans="1:3" x14ac:dyDescent="0.45">
      <c r="A3" t="s">
        <v>90</v>
      </c>
      <c r="B3" s="3" t="s">
        <v>105</v>
      </c>
      <c r="C3" s="3" t="s">
        <v>144</v>
      </c>
    </row>
    <row r="4" spans="1:3" x14ac:dyDescent="0.45">
      <c r="A4" t="s">
        <v>10</v>
      </c>
      <c r="B4" t="s">
        <v>149</v>
      </c>
      <c r="C4" t="s">
        <v>3</v>
      </c>
    </row>
    <row r="5" spans="1:3" x14ac:dyDescent="0.45">
      <c r="A5" t="s">
        <v>183</v>
      </c>
      <c r="B5" t="s">
        <v>151</v>
      </c>
      <c r="C5" t="s">
        <v>5</v>
      </c>
    </row>
    <row r="6" spans="1:3" x14ac:dyDescent="0.45">
      <c r="A6" t="s">
        <v>96</v>
      </c>
      <c r="B6" t="s">
        <v>152</v>
      </c>
      <c r="C6" t="s">
        <v>6</v>
      </c>
    </row>
    <row r="7" spans="1:3" x14ac:dyDescent="0.45">
      <c r="A7" t="s">
        <v>191</v>
      </c>
      <c r="B7" t="s">
        <v>192</v>
      </c>
      <c r="C7" t="s">
        <v>193</v>
      </c>
    </row>
    <row r="8" spans="1:3" x14ac:dyDescent="0.45">
      <c r="A8" t="s">
        <v>220</v>
      </c>
      <c r="B8" t="s">
        <v>217</v>
      </c>
      <c r="C8" t="s">
        <v>216</v>
      </c>
    </row>
    <row r="9" spans="1:3" x14ac:dyDescent="0.45">
      <c r="A9" t="s">
        <v>234</v>
      </c>
      <c r="B9" t="s">
        <v>219</v>
      </c>
      <c r="C9" s="3" t="s">
        <v>218</v>
      </c>
    </row>
    <row r="30" spans="1:3" x14ac:dyDescent="0.45">
      <c r="A30" s="6" t="s">
        <v>188</v>
      </c>
    </row>
    <row r="31" spans="1:3" x14ac:dyDescent="0.45">
      <c r="A31" s="6" t="s">
        <v>85</v>
      </c>
      <c r="B31" s="6" t="s">
        <v>148</v>
      </c>
      <c r="C31" s="6" t="s">
        <v>2</v>
      </c>
    </row>
    <row r="32" spans="1:3" x14ac:dyDescent="0.45">
      <c r="A32" s="6" t="s">
        <v>95</v>
      </c>
      <c r="B32" s="6" t="s">
        <v>150</v>
      </c>
      <c r="C32" s="6" t="s">
        <v>4</v>
      </c>
    </row>
    <row r="33" spans="1:3" x14ac:dyDescent="0.45">
      <c r="A33" s="6" t="s">
        <v>11</v>
      </c>
      <c r="B33" s="6" t="s">
        <v>153</v>
      </c>
      <c r="C33" s="6" t="s">
        <v>7</v>
      </c>
    </row>
    <row r="34" spans="1:3" x14ac:dyDescent="0.45">
      <c r="A34" s="6" t="s">
        <v>97</v>
      </c>
      <c r="B34" s="6" t="s">
        <v>154</v>
      </c>
      <c r="C34" s="6" t="s">
        <v>8</v>
      </c>
    </row>
    <row r="35" spans="1:3" x14ac:dyDescent="0.45">
      <c r="A35" s="6" t="s">
        <v>12</v>
      </c>
      <c r="B35" s="6" t="s">
        <v>155</v>
      </c>
      <c r="C35" s="6" t="s">
        <v>9</v>
      </c>
    </row>
    <row r="36" spans="1:3" x14ac:dyDescent="0.45">
      <c r="A36" s="6" t="s">
        <v>182</v>
      </c>
      <c r="B36" s="7" t="s">
        <v>104</v>
      </c>
      <c r="C36" s="6" t="s">
        <v>159</v>
      </c>
    </row>
    <row r="37" spans="1:3" x14ac:dyDescent="0.45">
      <c r="A37" s="8" t="s">
        <v>156</v>
      </c>
      <c r="B37" s="6" t="s">
        <v>158</v>
      </c>
      <c r="C37" s="6" t="s">
        <v>157</v>
      </c>
    </row>
    <row r="38" spans="1:3" x14ac:dyDescent="0.45">
      <c r="A38" s="6" t="s">
        <v>160</v>
      </c>
      <c r="B38" s="7" t="s">
        <v>190</v>
      </c>
      <c r="C38" s="6" t="s">
        <v>161</v>
      </c>
    </row>
    <row r="39" spans="1:3" x14ac:dyDescent="0.45">
      <c r="A39" s="6" t="s">
        <v>162</v>
      </c>
      <c r="B39" s="6" t="s">
        <v>165</v>
      </c>
      <c r="C39" s="6" t="s">
        <v>164</v>
      </c>
    </row>
    <row r="40" spans="1:3" x14ac:dyDescent="0.45">
      <c r="A40" s="6" t="s">
        <v>163</v>
      </c>
      <c r="B40" s="6" t="s">
        <v>167</v>
      </c>
      <c r="C40" s="6" t="s">
        <v>166</v>
      </c>
    </row>
  </sheetData>
  <phoneticPr fontId="1" type="noConversion"/>
  <hyperlinks>
    <hyperlink ref="B36" r:id="rId1"/>
    <hyperlink ref="B3" r:id="rId2"/>
    <hyperlink ref="C3" r:id="rId3"/>
    <hyperlink ref="B38" r:id="rId4"/>
    <hyperlink ref="C9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tabSelected="1" topLeftCell="A33" zoomScale="59" zoomScaleNormal="70" workbookViewId="0">
      <selection activeCell="N34" sqref="N34"/>
    </sheetView>
  </sheetViews>
  <sheetFormatPr defaultRowHeight="16.75" x14ac:dyDescent="0.45"/>
  <cols>
    <col min="2" max="2" width="67.765625" bestFit="1" customWidth="1"/>
    <col min="3" max="3" width="25" bestFit="1" customWidth="1"/>
    <col min="4" max="4" width="35.765625" bestFit="1" customWidth="1"/>
    <col min="5" max="5" width="25.84375" bestFit="1" customWidth="1"/>
    <col min="6" max="6" width="28.69140625" bestFit="1" customWidth="1"/>
    <col min="7" max="7" width="13.3828125" bestFit="1" customWidth="1"/>
    <col min="8" max="8" width="13.53515625" bestFit="1" customWidth="1"/>
  </cols>
  <sheetData>
    <row r="2" spans="2:6" ht="33.450000000000003" x14ac:dyDescent="0.45">
      <c r="B2" s="10" t="s">
        <v>262</v>
      </c>
    </row>
    <row r="4" spans="2:6" x14ac:dyDescent="0.45">
      <c r="B4" t="s">
        <v>250</v>
      </c>
      <c r="C4" t="s">
        <v>260</v>
      </c>
      <c r="D4" t="s">
        <v>261</v>
      </c>
      <c r="E4" t="s">
        <v>263</v>
      </c>
      <c r="F4" t="s">
        <v>264</v>
      </c>
    </row>
    <row r="5" spans="2:6" x14ac:dyDescent="0.45">
      <c r="B5" t="s">
        <v>251</v>
      </c>
      <c r="C5">
        <v>1</v>
      </c>
      <c r="D5">
        <v>11</v>
      </c>
      <c r="E5">
        <v>94.2</v>
      </c>
      <c r="F5">
        <v>25</v>
      </c>
    </row>
    <row r="6" spans="2:6" x14ac:dyDescent="0.45">
      <c r="B6" t="s">
        <v>252</v>
      </c>
      <c r="C6">
        <v>0</v>
      </c>
      <c r="D6">
        <v>17</v>
      </c>
      <c r="E6">
        <v>83.6</v>
      </c>
      <c r="F6">
        <v>22</v>
      </c>
    </row>
    <row r="7" spans="2:6" x14ac:dyDescent="0.45">
      <c r="B7" t="s">
        <v>253</v>
      </c>
      <c r="C7">
        <v>0</v>
      </c>
      <c r="D7">
        <v>0</v>
      </c>
      <c r="E7">
        <v>74.7</v>
      </c>
      <c r="F7">
        <v>29</v>
      </c>
    </row>
    <row r="8" spans="2:6" x14ac:dyDescent="0.45">
      <c r="B8" t="s">
        <v>254</v>
      </c>
      <c r="C8">
        <v>1</v>
      </c>
      <c r="D8">
        <v>19</v>
      </c>
      <c r="E8">
        <v>89.8</v>
      </c>
      <c r="F8">
        <v>27</v>
      </c>
    </row>
    <row r="9" spans="2:6" x14ac:dyDescent="0.45">
      <c r="B9" t="s">
        <v>255</v>
      </c>
      <c r="C9">
        <v>1</v>
      </c>
      <c r="D9">
        <v>12</v>
      </c>
      <c r="E9">
        <v>83.5</v>
      </c>
      <c r="F9">
        <v>25</v>
      </c>
    </row>
    <row r="10" spans="2:6" x14ac:dyDescent="0.45">
      <c r="B10" t="s">
        <v>256</v>
      </c>
      <c r="C10">
        <v>1</v>
      </c>
      <c r="D10">
        <v>4</v>
      </c>
      <c r="E10">
        <v>68.2</v>
      </c>
      <c r="F10">
        <v>2</v>
      </c>
    </row>
    <row r="11" spans="2:6" x14ac:dyDescent="0.45">
      <c r="B11" t="s">
        <v>257</v>
      </c>
      <c r="C11">
        <v>1</v>
      </c>
      <c r="D11">
        <v>13</v>
      </c>
      <c r="E11">
        <v>68.2</v>
      </c>
      <c r="F11">
        <v>13</v>
      </c>
    </row>
    <row r="12" spans="2:6" x14ac:dyDescent="0.45">
      <c r="B12" t="s">
        <v>258</v>
      </c>
      <c r="C12">
        <v>0</v>
      </c>
      <c r="D12">
        <v>2</v>
      </c>
      <c r="E12">
        <v>66.400000000000006</v>
      </c>
      <c r="F12">
        <v>6</v>
      </c>
    </row>
    <row r="13" spans="2:6" x14ac:dyDescent="0.45">
      <c r="B13" t="s">
        <v>259</v>
      </c>
      <c r="C13">
        <v>6</v>
      </c>
      <c r="D13">
        <v>8</v>
      </c>
      <c r="E13">
        <v>64.7</v>
      </c>
      <c r="F13">
        <v>21</v>
      </c>
    </row>
  </sheetData>
  <phoneticPr fontId="1" type="noConversion"/>
  <conditionalFormatting sqref="C5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="80" workbookViewId="0">
      <selection activeCell="T6" sqref="T6"/>
    </sheetView>
  </sheetViews>
  <sheetFormatPr defaultRowHeight="16.75" x14ac:dyDescent="0.45"/>
  <sheetData>
    <row r="1" spans="1:17" x14ac:dyDescent="0.45">
      <c r="C1" s="9"/>
      <c r="D1" s="40" t="s">
        <v>213</v>
      </c>
      <c r="E1" s="40"/>
      <c r="F1" s="40"/>
      <c r="H1" s="41" t="s">
        <v>247</v>
      </c>
      <c r="I1" s="41"/>
      <c r="J1" s="41"/>
      <c r="K1" s="41"/>
      <c r="L1" s="41"/>
      <c r="M1" s="41"/>
      <c r="O1" s="42" t="s">
        <v>26</v>
      </c>
      <c r="P1" s="42"/>
      <c r="Q1" s="42"/>
    </row>
    <row r="2" spans="1:17" ht="17.149999999999999" thickBot="1" x14ac:dyDescent="0.5">
      <c r="D2" s="12" t="s">
        <v>210</v>
      </c>
      <c r="E2" s="12" t="s">
        <v>211</v>
      </c>
      <c r="F2" s="12" t="s">
        <v>212</v>
      </c>
      <c r="H2" s="38" t="s">
        <v>240</v>
      </c>
      <c r="I2" s="38" t="s">
        <v>241</v>
      </c>
      <c r="J2" s="38" t="s">
        <v>242</v>
      </c>
      <c r="K2" s="38" t="s">
        <v>243</v>
      </c>
      <c r="L2" s="38" t="s">
        <v>244</v>
      </c>
      <c r="M2" s="38" t="s">
        <v>246</v>
      </c>
      <c r="O2" s="39" t="s">
        <v>248</v>
      </c>
      <c r="P2" s="39" t="s">
        <v>58</v>
      </c>
      <c r="Q2" s="39" t="s">
        <v>59</v>
      </c>
    </row>
    <row r="3" spans="1:17" ht="17.149999999999999" thickBot="1" x14ac:dyDescent="0.5">
      <c r="A3" t="s">
        <v>204</v>
      </c>
      <c r="C3" t="s">
        <v>214</v>
      </c>
      <c r="D3" s="20">
        <f>'Ruben Dias'!V8</f>
        <v>0.5</v>
      </c>
      <c r="E3" s="21">
        <f>'Ruben Dias'!W8</f>
        <v>0.6</v>
      </c>
      <c r="F3" s="22">
        <f>'Ruben Dias'!X8</f>
        <v>2</v>
      </c>
      <c r="H3" s="24"/>
      <c r="I3" s="24"/>
      <c r="J3" s="24"/>
      <c r="K3" s="24"/>
      <c r="L3" s="24"/>
      <c r="M3" s="24"/>
      <c r="O3" s="31"/>
      <c r="P3" s="31"/>
      <c r="Q3" s="31"/>
    </row>
    <row r="4" spans="1:17" ht="17.149999999999999" thickBot="1" x14ac:dyDescent="0.5">
      <c r="C4" t="s">
        <v>215</v>
      </c>
      <c r="D4" s="14">
        <f>'Ruben Dias'!V9</f>
        <v>0.73</v>
      </c>
      <c r="E4" s="15">
        <f>'Ruben Dias'!W9</f>
        <v>0.86</v>
      </c>
      <c r="F4" s="16">
        <f>'Ruben Dias'!X9</f>
        <v>0.93</v>
      </c>
      <c r="H4" s="24"/>
      <c r="I4" s="24"/>
      <c r="J4" s="24"/>
      <c r="K4" s="24"/>
      <c r="L4" s="24"/>
      <c r="M4" s="24"/>
      <c r="O4" s="31"/>
      <c r="P4" s="31"/>
      <c r="Q4" s="31"/>
    </row>
    <row r="5" spans="1:17" ht="17.149999999999999" thickBot="1" x14ac:dyDescent="0.5">
      <c r="D5" s="23"/>
      <c r="E5" s="23"/>
      <c r="F5" s="23"/>
      <c r="H5" s="24"/>
      <c r="I5" s="24"/>
      <c r="J5" s="24"/>
      <c r="K5" s="24"/>
      <c r="L5" s="24"/>
      <c r="M5" s="24"/>
      <c r="O5" s="31"/>
      <c r="P5" s="31"/>
      <c r="Q5" s="31"/>
    </row>
    <row r="6" spans="1:17" ht="17.149999999999999" thickBot="1" x14ac:dyDescent="0.5">
      <c r="A6" t="s">
        <v>102</v>
      </c>
      <c r="C6" t="s">
        <v>214</v>
      </c>
      <c r="D6" s="17">
        <f>'Josko Gvardiol'!V8</f>
        <v>1.75</v>
      </c>
      <c r="E6" s="18">
        <f>'Josko Gvardiol'!W8</f>
        <v>1.6</v>
      </c>
      <c r="F6" s="19">
        <f>'Josko Gvardiol'!X8</f>
        <v>0.75</v>
      </c>
      <c r="H6" s="25">
        <f>'Josko Gvardiol'!M8</f>
        <v>0</v>
      </c>
      <c r="I6" s="26">
        <f>'Josko Gvardiol'!N8</f>
        <v>0</v>
      </c>
      <c r="J6" s="26">
        <f>'Josko Gvardiol'!Q8</f>
        <v>0.8</v>
      </c>
      <c r="K6" s="26">
        <f>'Josko Gvardiol'!Z8</f>
        <v>7.5000000000000011E-2</v>
      </c>
      <c r="L6" s="26">
        <f>'Josko Gvardiol'!AA8</f>
        <v>2.5000000000000001E-2</v>
      </c>
      <c r="M6" s="27">
        <f>'Josko Gvardiol'!AB8</f>
        <v>1.75</v>
      </c>
      <c r="O6" s="32">
        <f>'Josko Gvardiol'!AE8</f>
        <v>64.25</v>
      </c>
      <c r="P6" s="33">
        <f>'Josko Gvardiol'!AF8</f>
        <v>81.5</v>
      </c>
      <c r="Q6" s="34">
        <f>'Josko Gvardiol'!AG8</f>
        <v>6</v>
      </c>
    </row>
    <row r="7" spans="1:17" ht="17.149999999999999" thickBot="1" x14ac:dyDescent="0.5">
      <c r="C7" t="s">
        <v>215</v>
      </c>
      <c r="D7" s="17">
        <f>'Josko Gvardiol'!V9</f>
        <v>1.61</v>
      </c>
      <c r="E7" s="18">
        <f>'Josko Gvardiol'!W9</f>
        <v>1.19</v>
      </c>
      <c r="F7" s="19">
        <f>'Josko Gvardiol'!X9</f>
        <v>1.25</v>
      </c>
      <c r="H7" s="25">
        <f>'Josko Gvardiol'!M9</f>
        <v>0.11</v>
      </c>
      <c r="I7" s="26">
        <f>'Josko Gvardiol'!N9</f>
        <v>0.02</v>
      </c>
      <c r="J7" s="26">
        <f>'Josko Gvardiol'!Q9</f>
        <v>0.99</v>
      </c>
      <c r="K7" s="26">
        <f>'Josko Gvardiol'!Z9</f>
        <v>0.1</v>
      </c>
      <c r="L7" s="26">
        <f>'Josko Gvardiol'!AA9</f>
        <v>0.17</v>
      </c>
      <c r="M7" s="27">
        <f>'Josko Gvardiol'!AB9</f>
        <v>1.94</v>
      </c>
      <c r="O7" s="32">
        <f>'Josko Gvardiol'!AE9</f>
        <v>74.709999999999994</v>
      </c>
      <c r="P7" s="33">
        <f>'Josko Gvardiol'!AF9</f>
        <v>0.90700000000000003</v>
      </c>
      <c r="Q7" s="34">
        <f>'Josko Gvardiol'!AG9</f>
        <v>7.35</v>
      </c>
    </row>
    <row r="8" spans="1:17" ht="17.149999999999999" thickBot="1" x14ac:dyDescent="0.5">
      <c r="D8" s="13"/>
      <c r="E8" s="13"/>
      <c r="F8" s="13"/>
      <c r="H8" s="24"/>
      <c r="I8" s="24"/>
      <c r="J8" s="24"/>
      <c r="K8" s="24"/>
      <c r="L8" s="24"/>
      <c r="M8" s="24"/>
      <c r="O8" s="31"/>
      <c r="P8" s="31"/>
      <c r="Q8" s="31"/>
    </row>
    <row r="9" spans="1:17" ht="17.149999999999999" thickBot="1" x14ac:dyDescent="0.5">
      <c r="A9" t="s">
        <v>90</v>
      </c>
      <c r="C9" t="s">
        <v>214</v>
      </c>
      <c r="D9" s="11"/>
      <c r="E9" s="11"/>
      <c r="F9" s="11"/>
      <c r="H9" s="25">
        <f>'Kevin De Bruyne'!M8</f>
        <v>0</v>
      </c>
      <c r="I9" s="26">
        <f>'Kevin De Bruyne'!N8</f>
        <v>0</v>
      </c>
      <c r="J9" s="26">
        <f>'Kevin De Bruyne'!Q8</f>
        <v>3</v>
      </c>
      <c r="K9" s="26">
        <f>'Kevin De Bruyne'!Z8</f>
        <v>0.43333333333333335</v>
      </c>
      <c r="L9" s="26">
        <f>'Kevin De Bruyne'!AA8</f>
        <v>0.13333333333333333</v>
      </c>
      <c r="M9" s="27">
        <f>'Kevin De Bruyne'!AB8</f>
        <v>3</v>
      </c>
      <c r="O9" s="32">
        <f>'Kevin De Bruyne'!AE8</f>
        <v>48</v>
      </c>
      <c r="P9" s="33">
        <f>'Kevin De Bruyne'!AF8</f>
        <v>73.2</v>
      </c>
      <c r="Q9" s="34">
        <f>'Kevin De Bruyne'!AG8</f>
        <v>7.333333333333333</v>
      </c>
    </row>
    <row r="10" spans="1:17" ht="17.149999999999999" thickBot="1" x14ac:dyDescent="0.5">
      <c r="C10" t="s">
        <v>215</v>
      </c>
      <c r="D10" s="11"/>
      <c r="E10" s="11"/>
      <c r="F10" s="11"/>
      <c r="H10" s="25">
        <f>'Kevin De Bruyne'!M9</f>
        <v>0.17</v>
      </c>
      <c r="I10" s="26">
        <f>'Kevin De Bruyne'!N9</f>
        <v>0.3</v>
      </c>
      <c r="J10" s="26">
        <f>'Kevin De Bruyne'!Q9</f>
        <v>3</v>
      </c>
      <c r="K10" s="26">
        <f>'Kevin De Bruyne'!Z9</f>
        <v>0.25</v>
      </c>
      <c r="L10" s="26">
        <f>'Kevin De Bruyne'!AA9</f>
        <v>0.68</v>
      </c>
      <c r="M10" s="27">
        <f>'Kevin De Bruyne'!AB9</f>
        <v>5.7</v>
      </c>
      <c r="O10" s="32">
        <f>'Kevin De Bruyne'!AE9</f>
        <v>63.03</v>
      </c>
      <c r="P10" s="33">
        <f>'Kevin De Bruyne'!AF9</f>
        <v>0.751</v>
      </c>
      <c r="Q10" s="34">
        <f>'Kevin De Bruyne'!AG9</f>
        <v>8.15</v>
      </c>
    </row>
    <row r="11" spans="1:17" ht="17.149999999999999" thickBot="1" x14ac:dyDescent="0.5">
      <c r="D11" s="12"/>
      <c r="E11" s="12"/>
      <c r="F11" s="12"/>
      <c r="H11" s="24"/>
      <c r="I11" s="24"/>
      <c r="J11" s="24"/>
      <c r="K11" s="24"/>
      <c r="L11" s="24"/>
      <c r="M11" s="24"/>
      <c r="O11" s="31"/>
      <c r="P11" s="31"/>
      <c r="Q11" s="31"/>
    </row>
    <row r="12" spans="1:17" ht="17.149999999999999" thickBot="1" x14ac:dyDescent="0.5">
      <c r="A12" t="s">
        <v>205</v>
      </c>
      <c r="C12" t="s">
        <v>214</v>
      </c>
      <c r="D12" s="17">
        <f>'Mateo Kovacic'!V8</f>
        <v>2.5</v>
      </c>
      <c r="E12" s="18">
        <f>'Mateo Kovacic'!W8</f>
        <v>1.2</v>
      </c>
      <c r="F12" s="19">
        <f>'Mateo Kovacic'!X8</f>
        <v>0.5</v>
      </c>
      <c r="H12" s="28">
        <f>'Mateo Kovacic'!M8</f>
        <v>0</v>
      </c>
      <c r="I12" s="29">
        <f>'Mateo Kovacic'!N8</f>
        <v>0.4</v>
      </c>
      <c r="J12" s="29">
        <f>'Mateo Kovacic'!Q8</f>
        <v>2</v>
      </c>
      <c r="K12" s="29">
        <f>'Mateo Kovacic'!Z8</f>
        <v>0.05</v>
      </c>
      <c r="L12" s="29">
        <f>'Mateo Kovacic'!AA8</f>
        <v>0</v>
      </c>
      <c r="M12" s="30">
        <f>'Mateo Kovacic'!AB8</f>
        <v>3.75</v>
      </c>
      <c r="O12" s="32">
        <f>'Mateo Kovacic'!AE8</f>
        <v>74.5</v>
      </c>
      <c r="P12" s="33">
        <f>'Mateo Kovacic'!AF8</f>
        <v>91.45</v>
      </c>
      <c r="Q12" s="34">
        <f>'Mateo Kovacic'!AG8</f>
        <v>7</v>
      </c>
    </row>
    <row r="13" spans="1:17" ht="17.149999999999999" thickBot="1" x14ac:dyDescent="0.5">
      <c r="C13" t="s">
        <v>215</v>
      </c>
      <c r="D13" s="17">
        <f>'Mateo Kovacic'!V9</f>
        <v>2.66</v>
      </c>
      <c r="E13" s="18">
        <f>'Mateo Kovacic'!W9</f>
        <v>0.9</v>
      </c>
      <c r="F13" s="19">
        <f>'Mateo Kovacic'!X9</f>
        <v>0.79</v>
      </c>
      <c r="H13" s="25">
        <f>'Mateo Kovacic'!M9</f>
        <v>0.25</v>
      </c>
      <c r="I13" s="26">
        <f>'Mateo Kovacic'!N9</f>
        <v>7.0000000000000007E-2</v>
      </c>
      <c r="J13" s="26">
        <f>'Mateo Kovacic'!Q9</f>
        <v>1.8</v>
      </c>
      <c r="K13" s="26">
        <f>'Mateo Kovacic'!Z9</f>
        <v>0.08</v>
      </c>
      <c r="L13" s="26">
        <f>'Mateo Kovacic'!AA9</f>
        <v>0.21</v>
      </c>
      <c r="M13" s="27">
        <f>'Mateo Kovacic'!AB9</f>
        <v>2.91</v>
      </c>
      <c r="O13" s="35">
        <f>'Mateo Kovacic'!AE9</f>
        <v>78.22</v>
      </c>
      <c r="P13" s="36">
        <f>'Mateo Kovacic'!AF9</f>
        <v>0.92700000000000005</v>
      </c>
      <c r="Q13" s="37">
        <f>'Mateo Kovacic'!AG9</f>
        <v>6.93</v>
      </c>
    </row>
    <row r="14" spans="1:17" ht="17.149999999999999" thickBot="1" x14ac:dyDescent="0.5">
      <c r="D14" s="13"/>
      <c r="E14" s="13"/>
      <c r="F14" s="13"/>
      <c r="H14" s="24"/>
      <c r="I14" s="24"/>
      <c r="J14" s="24"/>
      <c r="K14" s="24"/>
      <c r="L14" s="24"/>
      <c r="M14" s="24"/>
      <c r="O14" s="31"/>
      <c r="P14" s="31"/>
      <c r="Q14" s="31"/>
    </row>
    <row r="15" spans="1:17" ht="17.149999999999999" thickBot="1" x14ac:dyDescent="0.5">
      <c r="A15" t="s">
        <v>249</v>
      </c>
      <c r="C15" t="s">
        <v>214</v>
      </c>
      <c r="D15" s="11"/>
      <c r="E15" s="11"/>
      <c r="F15" s="11"/>
      <c r="H15" s="25">
        <f>'Bernardo Silva'!M8</f>
        <v>0.2</v>
      </c>
      <c r="I15" s="26">
        <f>'Bernardo Silva'!N8</f>
        <v>0</v>
      </c>
      <c r="J15" s="26">
        <f>'Bernardo Silva'!Q8</f>
        <v>0.4</v>
      </c>
      <c r="K15" s="26">
        <f>'Bernardo Silva'!Z8</f>
        <v>0.15</v>
      </c>
      <c r="L15" s="26">
        <f>'Bernardo Silva'!AA8</f>
        <v>0.3</v>
      </c>
      <c r="M15" s="27">
        <f>'Bernardo Silva'!AB8</f>
        <v>3</v>
      </c>
      <c r="O15" s="32">
        <f>'Bernardo Silva'!AE8</f>
        <v>70</v>
      </c>
      <c r="P15" s="33">
        <f>'Bernardo Silva'!AF8</f>
        <v>82.55</v>
      </c>
      <c r="Q15" s="34">
        <f>'Bernardo Silva'!AG8</f>
        <v>6</v>
      </c>
    </row>
    <row r="16" spans="1:17" ht="17.149999999999999" thickBot="1" x14ac:dyDescent="0.5">
      <c r="C16" t="s">
        <v>215</v>
      </c>
      <c r="D16" s="11"/>
      <c r="E16" s="11"/>
      <c r="F16" s="11"/>
      <c r="H16" s="25">
        <f>'Bernardo Silva'!M9</f>
        <v>0.1</v>
      </c>
      <c r="I16" s="26">
        <f>'Bernardo Silva'!N9</f>
        <v>0.1</v>
      </c>
      <c r="J16" s="26">
        <f>'Bernardo Silva'!Q9</f>
        <v>1.02</v>
      </c>
      <c r="K16" s="26">
        <f>'Bernardo Silva'!Z9</f>
        <v>0.13</v>
      </c>
      <c r="L16" s="26">
        <f>'Bernardo Silva'!AA9</f>
        <v>0.28000000000000003</v>
      </c>
      <c r="M16" s="27">
        <f>'Bernardo Silva'!AB9</f>
        <v>3.28</v>
      </c>
      <c r="O16" s="32">
        <f>'Bernardo Silva'!AE9</f>
        <v>58.91</v>
      </c>
      <c r="P16" s="33">
        <f>'Bernardo Silva'!AF9</f>
        <v>0.86899999999999999</v>
      </c>
      <c r="Q16" s="34">
        <f>'Bernardo Silva'!AG9</f>
        <v>4.7699999999999996</v>
      </c>
    </row>
    <row r="17" spans="1:17" ht="17.149999999999999" thickBot="1" x14ac:dyDescent="0.5">
      <c r="D17" s="11"/>
      <c r="E17" s="11"/>
      <c r="F17" s="11"/>
      <c r="H17" s="24"/>
      <c r="I17" s="24"/>
      <c r="J17" s="24"/>
      <c r="K17" s="24"/>
      <c r="L17" s="24"/>
      <c r="M17" s="24"/>
      <c r="O17" s="31"/>
      <c r="P17" s="31"/>
      <c r="Q17" s="31"/>
    </row>
    <row r="18" spans="1:17" ht="17.149999999999999" thickBot="1" x14ac:dyDescent="0.5">
      <c r="A18" t="s">
        <v>96</v>
      </c>
      <c r="C18" t="s">
        <v>214</v>
      </c>
      <c r="D18" s="11"/>
      <c r="E18" s="11"/>
      <c r="F18" s="11"/>
      <c r="H18" s="25">
        <f>'Erling Haaland'!M8</f>
        <v>0.4</v>
      </c>
      <c r="I18" s="26">
        <f>'Erling Haaland'!N8</f>
        <v>0</v>
      </c>
      <c r="J18" s="26">
        <f>'Erling Haaland'!Q8</f>
        <v>1.8</v>
      </c>
      <c r="K18" s="26">
        <f>'Erling Haaland'!Z8</f>
        <v>0.13333333333333333</v>
      </c>
      <c r="L18" s="26">
        <f>'Erling Haaland'!AA8</f>
        <v>0.10000000000000002</v>
      </c>
      <c r="M18" s="27">
        <f>'Erling Haaland'!AB8</f>
        <v>3</v>
      </c>
      <c r="O18" s="31"/>
      <c r="P18" s="31"/>
      <c r="Q18" s="31"/>
    </row>
    <row r="19" spans="1:17" ht="17.149999999999999" thickBot="1" x14ac:dyDescent="0.5">
      <c r="C19" t="s">
        <v>215</v>
      </c>
      <c r="D19" s="11"/>
      <c r="E19" s="11"/>
      <c r="F19" s="11"/>
      <c r="H19" s="25">
        <f>'Erling Haaland'!M9</f>
        <v>0.64</v>
      </c>
      <c r="I19" s="26">
        <f>'Erling Haaland'!N9</f>
        <v>0.08</v>
      </c>
      <c r="J19" s="26">
        <f>'Erling Haaland'!Q9</f>
        <v>3.59</v>
      </c>
      <c r="K19" s="26">
        <f>'Erling Haaland'!Z9</f>
        <v>0.65</v>
      </c>
      <c r="L19" s="26">
        <f>'Erling Haaland'!AA9</f>
        <v>0.74</v>
      </c>
      <c r="M19" s="27">
        <f>'Erling Haaland'!AB9</f>
        <v>2.16</v>
      </c>
      <c r="O19" s="31"/>
      <c r="P19" s="31"/>
      <c r="Q19" s="31"/>
    </row>
    <row r="20" spans="1:17" ht="17.149999999999999" thickBot="1" x14ac:dyDescent="0.5">
      <c r="D20" s="11"/>
      <c r="E20" s="11"/>
      <c r="F20" s="11"/>
      <c r="H20" s="24"/>
      <c r="I20" s="24"/>
      <c r="J20" s="24"/>
      <c r="K20" s="24"/>
      <c r="L20" s="24"/>
      <c r="M20" s="24"/>
      <c r="O20" s="31"/>
      <c r="P20" s="31"/>
      <c r="Q20" s="31"/>
    </row>
    <row r="21" spans="1:17" ht="17.149999999999999" thickBot="1" x14ac:dyDescent="0.5">
      <c r="A21" t="s">
        <v>206</v>
      </c>
      <c r="C21" t="s">
        <v>214</v>
      </c>
      <c r="D21" s="11"/>
      <c r="E21" s="11"/>
      <c r="F21" s="11"/>
      <c r="H21" s="25">
        <f>'Jamal Musiala'!M8</f>
        <v>0.4</v>
      </c>
      <c r="I21" s="26">
        <f>'Jamal Musiala'!N8</f>
        <v>0</v>
      </c>
      <c r="J21" s="26">
        <f>'Jamal Musiala'!Q8</f>
        <v>2.6</v>
      </c>
      <c r="K21" s="26">
        <f>'Jamal Musiala'!Z8</f>
        <v>0.46666666666666662</v>
      </c>
      <c r="L21" s="26">
        <f>'Jamal Musiala'!AA8</f>
        <v>0.16666666666666666</v>
      </c>
      <c r="M21" s="27">
        <f>'Jamal Musiala'!AB8</f>
        <v>4.333333333333333</v>
      </c>
      <c r="O21" s="32">
        <f>'Jamal Musiala'!AE8</f>
        <v>33.666666666666664</v>
      </c>
      <c r="P21" s="33">
        <f>'Jamal Musiala'!AF8</f>
        <v>80.36666666666666</v>
      </c>
      <c r="Q21" s="34">
        <f>'Jamal Musiala'!AG8</f>
        <v>4</v>
      </c>
    </row>
    <row r="22" spans="1:17" ht="17.149999999999999" thickBot="1" x14ac:dyDescent="0.5">
      <c r="C22" t="s">
        <v>215</v>
      </c>
      <c r="D22" s="11"/>
      <c r="E22" s="11"/>
      <c r="F22" s="11"/>
      <c r="H22" s="25">
        <f>'Jamal Musiala'!M9</f>
        <v>0.51</v>
      </c>
      <c r="I22" s="26">
        <f>'Jamal Musiala'!N9</f>
        <v>0.17</v>
      </c>
      <c r="J22" s="26">
        <f>'Jamal Musiala'!Q9</f>
        <v>3.45</v>
      </c>
      <c r="K22" s="26">
        <f>'Jamal Musiala'!Z9</f>
        <v>0.44</v>
      </c>
      <c r="L22" s="26">
        <f>'Jamal Musiala'!AA9</f>
        <v>0.73</v>
      </c>
      <c r="M22" s="27">
        <f>'Jamal Musiala'!AB9</f>
        <v>5.85</v>
      </c>
      <c r="O22" s="32">
        <f>'Jamal Musiala'!AE9</f>
        <v>47.03</v>
      </c>
      <c r="P22" s="33">
        <f>'Jamal Musiala'!AF9</f>
        <v>0.83</v>
      </c>
      <c r="Q22" s="34">
        <f>'Jamal Musiala'!AG9</f>
        <v>5.48</v>
      </c>
    </row>
    <row r="23" spans="1:17" ht="17.149999999999999" thickBot="1" x14ac:dyDescent="0.5">
      <c r="D23" s="11"/>
      <c r="E23" s="11"/>
      <c r="F23" s="11"/>
      <c r="H23" s="24"/>
      <c r="I23" s="24"/>
      <c r="J23" s="24"/>
      <c r="K23" s="24"/>
      <c r="L23" s="24"/>
      <c r="M23" s="24"/>
      <c r="O23" s="31"/>
      <c r="P23" s="31"/>
      <c r="Q23" s="31"/>
    </row>
    <row r="24" spans="1:17" ht="17.149999999999999" thickBot="1" x14ac:dyDescent="0.5">
      <c r="A24" t="s">
        <v>238</v>
      </c>
      <c r="C24" t="s">
        <v>214</v>
      </c>
      <c r="D24" s="11"/>
      <c r="E24" s="11"/>
      <c r="F24" s="11"/>
      <c r="H24" s="25">
        <f>'Robert Lewandowski'!M8</f>
        <v>0.4</v>
      </c>
      <c r="I24" s="26">
        <f>'Robert Lewandowski'!N8</f>
        <v>0</v>
      </c>
      <c r="J24" s="26">
        <f>'Robert Lewandowski'!Q8</f>
        <v>2.4</v>
      </c>
      <c r="K24" s="26">
        <f>'Robert Lewandowski'!Z8</f>
        <v>0.66</v>
      </c>
      <c r="L24" s="26">
        <f>'Robert Lewandowski'!AA8</f>
        <v>0</v>
      </c>
      <c r="M24" s="27">
        <f>'Robert Lewandowski'!AB8</f>
        <v>1</v>
      </c>
      <c r="O24" s="31"/>
      <c r="P24" s="31"/>
      <c r="Q24" s="31"/>
    </row>
    <row r="25" spans="1:17" ht="17.149999999999999" thickBot="1" x14ac:dyDescent="0.5">
      <c r="C25" t="s">
        <v>215</v>
      </c>
      <c r="D25" s="11"/>
      <c r="E25" s="11"/>
      <c r="F25" s="11"/>
      <c r="H25" s="25">
        <f>'Robert Lewandowski'!M9</f>
        <v>0.79</v>
      </c>
      <c r="I25" s="26">
        <f>'Robert Lewandowski'!N9</f>
        <v>0.05</v>
      </c>
      <c r="J25" s="26">
        <f>'Robert Lewandowski'!Q9</f>
        <v>3.48</v>
      </c>
      <c r="K25" s="26">
        <f>'Robert Lewandowski'!Z9</f>
        <v>0.79</v>
      </c>
      <c r="L25" s="26">
        <f>'Robert Lewandowski'!AA9</f>
        <v>0.89</v>
      </c>
      <c r="M25" s="27">
        <f>'Robert Lewandowski'!AB9</f>
        <v>1.71</v>
      </c>
      <c r="O25" s="31"/>
      <c r="P25" s="31"/>
      <c r="Q25" s="31"/>
    </row>
    <row r="26" spans="1:17" ht="17.149999999999999" thickBot="1" x14ac:dyDescent="0.5">
      <c r="D26" s="11"/>
      <c r="E26" s="11"/>
      <c r="F26" s="11"/>
      <c r="H26" s="24"/>
      <c r="I26" s="24"/>
      <c r="J26" s="24"/>
      <c r="K26" s="24"/>
      <c r="L26" s="24"/>
      <c r="M26" s="24"/>
      <c r="O26" s="31"/>
      <c r="P26" s="31"/>
      <c r="Q26" s="31"/>
    </row>
    <row r="27" spans="1:17" ht="17.149999999999999" thickBot="1" x14ac:dyDescent="0.5">
      <c r="A27" t="s">
        <v>239</v>
      </c>
      <c r="C27" t="s">
        <v>214</v>
      </c>
      <c r="D27" s="11"/>
      <c r="E27" s="11"/>
      <c r="F27" s="11"/>
      <c r="H27" s="25">
        <f>'Lamine Yamal'!M8</f>
        <v>0.8</v>
      </c>
      <c r="I27" s="26">
        <f>'Lamine Yamal'!N8</f>
        <v>0.2</v>
      </c>
      <c r="J27" s="26">
        <f>'Lamine Yamal'!Q8</f>
        <v>5.4</v>
      </c>
      <c r="K27" s="26">
        <f>'Lamine Yamal'!Z8</f>
        <v>0.26666666666666666</v>
      </c>
      <c r="L27" s="26">
        <f>'Lamine Yamal'!AA8</f>
        <v>6.6666666666666666E-2</v>
      </c>
      <c r="M27" s="27">
        <f>'Lamine Yamal'!AB8</f>
        <v>5.666666666666667</v>
      </c>
      <c r="O27" s="32">
        <f>'Lamine Yamal'!AE8</f>
        <v>69</v>
      </c>
      <c r="P27" s="33">
        <f>'Lamine Yamal'!AF8</f>
        <v>75.5</v>
      </c>
      <c r="Q27" s="34">
        <f>'Lamine Yamal'!AG8</f>
        <v>5.333333333333333</v>
      </c>
    </row>
    <row r="28" spans="1:17" ht="17.149999999999999" thickBot="1" x14ac:dyDescent="0.5">
      <c r="C28" t="s">
        <v>215</v>
      </c>
      <c r="D28" s="11"/>
      <c r="E28" s="11"/>
      <c r="F28" s="11"/>
      <c r="H28" s="25">
        <f>'Lamine Yamal'!M9</f>
        <v>0.32</v>
      </c>
      <c r="I28" s="26">
        <f>'Lamine Yamal'!N9</f>
        <v>0.36</v>
      </c>
      <c r="J28" s="26">
        <f>'Lamine Yamal'!Q9</f>
        <v>4.49</v>
      </c>
      <c r="K28" s="26">
        <f>'Lamine Yamal'!Z9</f>
        <v>0.32</v>
      </c>
      <c r="L28" s="26">
        <f>'Lamine Yamal'!AA9</f>
        <v>0.69</v>
      </c>
      <c r="M28" s="27">
        <f>'Lamine Yamal'!AB9</f>
        <v>5.61</v>
      </c>
      <c r="O28" s="32">
        <f>'Lamine Yamal'!AE9</f>
        <v>47.98</v>
      </c>
      <c r="P28" s="33">
        <f>'Lamine Yamal'!AF9</f>
        <v>0.747</v>
      </c>
      <c r="Q28" s="34">
        <f>'Lamine Yamal'!AG9</f>
        <v>5.0599999999999996</v>
      </c>
    </row>
  </sheetData>
  <mergeCells count="3">
    <mergeCell ref="D1:F1"/>
    <mergeCell ref="H1:M1"/>
    <mergeCell ref="O1:Q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B4" zoomScale="103" workbookViewId="0">
      <selection activeCell="V8" sqref="V8:X9"/>
    </sheetView>
  </sheetViews>
  <sheetFormatPr defaultRowHeight="16.75" x14ac:dyDescent="0.45"/>
  <cols>
    <col min="17" max="17" width="9.765625" bestFit="1" customWidth="1"/>
  </cols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45816</v>
      </c>
      <c r="C3" t="s">
        <v>63</v>
      </c>
      <c r="D3" t="s">
        <v>168</v>
      </c>
      <c r="E3" t="s">
        <v>114</v>
      </c>
      <c r="F3" t="s">
        <v>73</v>
      </c>
      <c r="G3" t="s">
        <v>207</v>
      </c>
      <c r="H3" t="s">
        <v>171</v>
      </c>
      <c r="I3" t="s">
        <v>208</v>
      </c>
      <c r="J3" t="s">
        <v>69</v>
      </c>
      <c r="K3" t="s">
        <v>70</v>
      </c>
      <c r="L3">
        <v>120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AL3" t="s">
        <v>62</v>
      </c>
    </row>
    <row r="4" spans="1:38" x14ac:dyDescent="0.45">
      <c r="A4">
        <v>1</v>
      </c>
      <c r="B4" s="2">
        <v>45812</v>
      </c>
      <c r="C4" t="s">
        <v>71</v>
      </c>
      <c r="D4" t="s">
        <v>168</v>
      </c>
      <c r="E4" t="s">
        <v>169</v>
      </c>
      <c r="F4" t="s">
        <v>65</v>
      </c>
      <c r="G4" t="s">
        <v>170</v>
      </c>
      <c r="H4" t="s">
        <v>171</v>
      </c>
      <c r="I4" t="s">
        <v>172</v>
      </c>
      <c r="J4" t="s">
        <v>69</v>
      </c>
      <c r="K4" t="s">
        <v>70</v>
      </c>
      <c r="L4">
        <v>90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W4">
        <v>1</v>
      </c>
      <c r="AL4" t="s">
        <v>62</v>
      </c>
    </row>
    <row r="5" spans="1:38" x14ac:dyDescent="0.45">
      <c r="A5">
        <v>2</v>
      </c>
      <c r="B5" s="2">
        <v>45802</v>
      </c>
      <c r="C5" t="s">
        <v>63</v>
      </c>
      <c r="D5" t="s">
        <v>108</v>
      </c>
      <c r="E5" t="s">
        <v>109</v>
      </c>
      <c r="F5" t="s">
        <v>65</v>
      </c>
      <c r="G5" t="s">
        <v>74</v>
      </c>
      <c r="H5" t="s">
        <v>67</v>
      </c>
      <c r="I5" t="s">
        <v>110</v>
      </c>
      <c r="J5" t="s">
        <v>76</v>
      </c>
      <c r="K5" t="s">
        <v>70</v>
      </c>
      <c r="L5">
        <v>90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82</v>
      </c>
      <c r="V5">
        <v>0</v>
      </c>
      <c r="W5">
        <v>2</v>
      </c>
      <c r="X5">
        <v>3</v>
      </c>
      <c r="Y5">
        <v>0</v>
      </c>
      <c r="Z5">
        <v>0</v>
      </c>
      <c r="AA5">
        <v>0</v>
      </c>
      <c r="AB5">
        <v>1</v>
      </c>
      <c r="AC5">
        <v>0</v>
      </c>
      <c r="AD5">
        <v>65</v>
      </c>
      <c r="AE5">
        <v>70</v>
      </c>
      <c r="AF5">
        <v>92.9</v>
      </c>
      <c r="AG5">
        <v>13</v>
      </c>
      <c r="AH5">
        <v>51</v>
      </c>
      <c r="AI5">
        <v>2</v>
      </c>
      <c r="AJ5">
        <v>0</v>
      </c>
      <c r="AK5">
        <v>0</v>
      </c>
      <c r="AL5" t="s">
        <v>62</v>
      </c>
    </row>
    <row r="6" spans="1:38" x14ac:dyDescent="0.45">
      <c r="A6">
        <v>3</v>
      </c>
      <c r="B6" s="2">
        <v>45797</v>
      </c>
      <c r="C6" t="s">
        <v>103</v>
      </c>
      <c r="D6" t="s">
        <v>108</v>
      </c>
      <c r="E6" t="s">
        <v>111</v>
      </c>
      <c r="F6" t="s">
        <v>73</v>
      </c>
      <c r="G6" t="s">
        <v>112</v>
      </c>
      <c r="H6" t="s">
        <v>67</v>
      </c>
      <c r="I6" t="s">
        <v>113</v>
      </c>
      <c r="J6" t="s">
        <v>69</v>
      </c>
      <c r="K6" t="s">
        <v>70</v>
      </c>
      <c r="L6">
        <v>90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74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64</v>
      </c>
      <c r="AE6">
        <v>67</v>
      </c>
      <c r="AF6">
        <v>95.5</v>
      </c>
      <c r="AG6">
        <v>4</v>
      </c>
      <c r="AH6">
        <v>53</v>
      </c>
      <c r="AI6">
        <v>3</v>
      </c>
      <c r="AJ6">
        <v>0</v>
      </c>
      <c r="AK6">
        <v>0</v>
      </c>
      <c r="AL6" t="s">
        <v>62</v>
      </c>
    </row>
    <row r="7" spans="1:38" x14ac:dyDescent="0.45">
      <c r="A7">
        <v>4</v>
      </c>
      <c r="B7" s="2">
        <v>45794</v>
      </c>
      <c r="C7" t="s">
        <v>77</v>
      </c>
      <c r="D7" t="s">
        <v>106</v>
      </c>
      <c r="E7" t="s">
        <v>114</v>
      </c>
      <c r="F7" t="s">
        <v>115</v>
      </c>
      <c r="G7" t="s">
        <v>82</v>
      </c>
      <c r="H7" t="s">
        <v>67</v>
      </c>
      <c r="I7" t="s">
        <v>101</v>
      </c>
      <c r="J7" t="s">
        <v>69</v>
      </c>
      <c r="K7" t="s">
        <v>70</v>
      </c>
      <c r="L7">
        <v>90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V7" t="s">
        <v>209</v>
      </c>
      <c r="W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96</v>
      </c>
      <c r="M8" s="4">
        <f t="shared" ref="M8:AK8" si="0">AVERAGE(M3:M7)</f>
        <v>0</v>
      </c>
      <c r="N8" s="4">
        <f t="shared" si="0"/>
        <v>0.2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0.4</v>
      </c>
      <c r="T8" s="4">
        <f t="shared" si="0"/>
        <v>0</v>
      </c>
      <c r="U8" s="4">
        <f t="shared" si="0"/>
        <v>78</v>
      </c>
      <c r="V8" s="4">
        <f t="shared" si="0"/>
        <v>0.5</v>
      </c>
      <c r="W8" s="4">
        <f t="shared" si="0"/>
        <v>0.6</v>
      </c>
      <c r="X8" s="4">
        <f t="shared" si="0"/>
        <v>2</v>
      </c>
      <c r="Y8" s="4">
        <f t="shared" si="0"/>
        <v>0</v>
      </c>
      <c r="Z8" s="4">
        <f t="shared" si="0"/>
        <v>0</v>
      </c>
      <c r="AA8" s="4">
        <f t="shared" si="0"/>
        <v>0</v>
      </c>
      <c r="AB8" s="4">
        <f t="shared" si="0"/>
        <v>0.5</v>
      </c>
      <c r="AC8" s="4">
        <f t="shared" si="0"/>
        <v>0</v>
      </c>
      <c r="AD8" s="4">
        <f t="shared" si="0"/>
        <v>64.5</v>
      </c>
      <c r="AE8" s="4">
        <f t="shared" si="0"/>
        <v>68.5</v>
      </c>
      <c r="AF8" s="4">
        <f t="shared" si="0"/>
        <v>94.2</v>
      </c>
      <c r="AG8" s="4">
        <f t="shared" si="0"/>
        <v>8.5</v>
      </c>
      <c r="AH8" s="4">
        <f t="shared" si="0"/>
        <v>52</v>
      </c>
      <c r="AI8" s="4">
        <f t="shared" si="0"/>
        <v>2.5</v>
      </c>
      <c r="AJ8" s="4">
        <f t="shared" si="0"/>
        <v>0</v>
      </c>
      <c r="AK8" s="4">
        <f t="shared" si="0"/>
        <v>0</v>
      </c>
    </row>
    <row r="9" spans="1:38" x14ac:dyDescent="0.45">
      <c r="A9" t="s">
        <v>189</v>
      </c>
      <c r="M9">
        <f>C12</f>
        <v>0</v>
      </c>
      <c r="N9">
        <f>C15</f>
        <v>0</v>
      </c>
      <c r="Q9">
        <f>C14</f>
        <v>0.69</v>
      </c>
      <c r="V9">
        <f>C28</f>
        <v>0.73</v>
      </c>
      <c r="W9">
        <f>C29</f>
        <v>0.86</v>
      </c>
      <c r="X9">
        <f>C30</f>
        <v>0.93</v>
      </c>
      <c r="Z9">
        <f>C13</f>
        <v>0.05</v>
      </c>
      <c r="AA9">
        <f>C17</f>
        <v>0.06</v>
      </c>
      <c r="AB9">
        <f>C18</f>
        <v>0.96</v>
      </c>
      <c r="AE9">
        <f>C20</f>
        <v>90.4</v>
      </c>
      <c r="AF9" s="5">
        <f>C21</f>
        <v>0.93500000000000005</v>
      </c>
      <c r="AG9">
        <f>C22</f>
        <v>5.85</v>
      </c>
      <c r="AK9">
        <f>C24</f>
        <v>7.0000000000000007E-2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</v>
      </c>
      <c r="D12">
        <v>19</v>
      </c>
    </row>
    <row r="13" spans="1:38" x14ac:dyDescent="0.45">
      <c r="A13">
        <v>1</v>
      </c>
      <c r="B13" t="s">
        <v>127</v>
      </c>
      <c r="C13">
        <v>0.05</v>
      </c>
      <c r="D13">
        <v>56</v>
      </c>
    </row>
    <row r="14" spans="1:38" x14ac:dyDescent="0.45">
      <c r="A14">
        <v>2</v>
      </c>
      <c r="B14" t="s">
        <v>128</v>
      </c>
      <c r="C14">
        <v>0.69</v>
      </c>
      <c r="D14">
        <v>80</v>
      </c>
    </row>
    <row r="15" spans="1:38" x14ac:dyDescent="0.45">
      <c r="A15">
        <v>3</v>
      </c>
      <c r="B15" t="s">
        <v>129</v>
      </c>
      <c r="C15">
        <v>0</v>
      </c>
      <c r="D15">
        <v>27</v>
      </c>
    </row>
    <row r="16" spans="1:38" x14ac:dyDescent="0.45">
      <c r="A16">
        <v>4</v>
      </c>
      <c r="B16" t="s">
        <v>130</v>
      </c>
      <c r="C16">
        <v>0.01</v>
      </c>
      <c r="D16">
        <v>26</v>
      </c>
    </row>
    <row r="17" spans="1:19" x14ac:dyDescent="0.45">
      <c r="A17">
        <v>5</v>
      </c>
      <c r="B17" t="s">
        <v>131</v>
      </c>
      <c r="C17">
        <v>0.06</v>
      </c>
      <c r="D17">
        <v>39</v>
      </c>
    </row>
    <row r="18" spans="1:19" x14ac:dyDescent="0.45">
      <c r="A18">
        <v>6</v>
      </c>
      <c r="B18" t="s">
        <v>132</v>
      </c>
      <c r="C18">
        <v>0.96</v>
      </c>
      <c r="D18">
        <v>63</v>
      </c>
    </row>
    <row r="19" spans="1:19" x14ac:dyDescent="0.45">
      <c r="A19">
        <v>7</v>
      </c>
    </row>
    <row r="20" spans="1:19" x14ac:dyDescent="0.45">
      <c r="A20">
        <v>8</v>
      </c>
      <c r="B20" t="s">
        <v>133</v>
      </c>
      <c r="C20">
        <v>90.4</v>
      </c>
      <c r="D20">
        <v>98</v>
      </c>
    </row>
    <row r="21" spans="1:19" x14ac:dyDescent="0.45">
      <c r="A21">
        <v>9</v>
      </c>
      <c r="B21" t="s">
        <v>134</v>
      </c>
      <c r="C21" s="5">
        <v>0.93500000000000005</v>
      </c>
      <c r="D21">
        <v>95</v>
      </c>
      <c r="S21" s="5"/>
    </row>
    <row r="22" spans="1:19" x14ac:dyDescent="0.45">
      <c r="A22">
        <v>10</v>
      </c>
      <c r="B22" t="s">
        <v>135</v>
      </c>
      <c r="C22">
        <v>5.85</v>
      </c>
      <c r="D22">
        <v>94</v>
      </c>
    </row>
    <row r="23" spans="1:19" x14ac:dyDescent="0.45">
      <c r="A23">
        <v>11</v>
      </c>
      <c r="B23" t="s">
        <v>136</v>
      </c>
      <c r="C23">
        <v>1.45</v>
      </c>
      <c r="D23">
        <v>91</v>
      </c>
    </row>
    <row r="24" spans="1:19" x14ac:dyDescent="0.45">
      <c r="A24">
        <v>12</v>
      </c>
      <c r="B24" t="s">
        <v>137</v>
      </c>
      <c r="C24">
        <v>7.0000000000000007E-2</v>
      </c>
      <c r="D24">
        <v>17</v>
      </c>
    </row>
    <row r="25" spans="1:19" x14ac:dyDescent="0.45">
      <c r="A25">
        <v>13</v>
      </c>
      <c r="B25" t="s">
        <v>138</v>
      </c>
      <c r="C25">
        <v>0.93</v>
      </c>
      <c r="D25">
        <v>64</v>
      </c>
    </row>
    <row r="26" spans="1:19" x14ac:dyDescent="0.45">
      <c r="A26">
        <v>14</v>
      </c>
      <c r="B26" t="s">
        <v>139</v>
      </c>
      <c r="C26">
        <v>0.3</v>
      </c>
      <c r="D26">
        <v>59</v>
      </c>
    </row>
    <row r="27" spans="1:19" x14ac:dyDescent="0.45">
      <c r="A27">
        <v>15</v>
      </c>
    </row>
    <row r="28" spans="1:19" x14ac:dyDescent="0.45">
      <c r="A28">
        <v>16</v>
      </c>
      <c r="B28" t="s">
        <v>140</v>
      </c>
      <c r="C28">
        <v>0.73</v>
      </c>
      <c r="D28">
        <v>2</v>
      </c>
    </row>
    <row r="29" spans="1:19" x14ac:dyDescent="0.45">
      <c r="A29">
        <v>17</v>
      </c>
      <c r="B29" t="s">
        <v>141</v>
      </c>
      <c r="C29">
        <v>0.86</v>
      </c>
      <c r="D29">
        <v>26</v>
      </c>
    </row>
    <row r="30" spans="1:19" x14ac:dyDescent="0.45">
      <c r="A30">
        <v>18</v>
      </c>
      <c r="B30" t="s">
        <v>51</v>
      </c>
      <c r="C30">
        <v>0.93</v>
      </c>
      <c r="D30">
        <v>14</v>
      </c>
    </row>
    <row r="31" spans="1:19" x14ac:dyDescent="0.45">
      <c r="A31">
        <v>19</v>
      </c>
      <c r="B31" t="s">
        <v>142</v>
      </c>
      <c r="C31">
        <v>2.71</v>
      </c>
      <c r="D31">
        <v>3</v>
      </c>
    </row>
    <row r="32" spans="1:19" x14ac:dyDescent="0.45">
      <c r="A32">
        <v>20</v>
      </c>
      <c r="B32" t="s">
        <v>143</v>
      </c>
      <c r="C32">
        <v>1.52</v>
      </c>
      <c r="D32">
        <v>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S1" zoomScale="101" workbookViewId="0">
      <selection activeCell="N9" sqref="N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45802</v>
      </c>
      <c r="C3" t="s">
        <v>63</v>
      </c>
      <c r="D3" t="s">
        <v>108</v>
      </c>
      <c r="E3" t="s">
        <v>109</v>
      </c>
      <c r="F3" t="s">
        <v>65</v>
      </c>
      <c r="G3" t="s">
        <v>74</v>
      </c>
      <c r="H3" t="s">
        <v>67</v>
      </c>
      <c r="I3" t="s">
        <v>110</v>
      </c>
      <c r="J3" t="s">
        <v>69</v>
      </c>
      <c r="K3" t="s">
        <v>89</v>
      </c>
      <c r="L3">
        <v>90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62</v>
      </c>
      <c r="V3">
        <v>2</v>
      </c>
      <c r="W3">
        <v>3</v>
      </c>
      <c r="X3">
        <v>0</v>
      </c>
      <c r="Y3">
        <v>0.2</v>
      </c>
      <c r="Z3">
        <v>0.2</v>
      </c>
      <c r="AA3">
        <v>0.1</v>
      </c>
      <c r="AB3">
        <v>3</v>
      </c>
      <c r="AC3">
        <v>0</v>
      </c>
      <c r="AD3">
        <v>41</v>
      </c>
      <c r="AE3">
        <v>53</v>
      </c>
      <c r="AF3">
        <v>77.400000000000006</v>
      </c>
      <c r="AG3">
        <v>8</v>
      </c>
      <c r="AH3">
        <v>31</v>
      </c>
      <c r="AI3">
        <v>2</v>
      </c>
      <c r="AJ3">
        <v>1</v>
      </c>
      <c r="AK3">
        <v>1</v>
      </c>
      <c r="AL3" t="s">
        <v>62</v>
      </c>
    </row>
    <row r="4" spans="1:38" x14ac:dyDescent="0.45">
      <c r="A4">
        <v>1</v>
      </c>
      <c r="B4" s="2">
        <v>45797</v>
      </c>
      <c r="C4" t="s">
        <v>103</v>
      </c>
      <c r="D4" t="s">
        <v>108</v>
      </c>
      <c r="E4" t="s">
        <v>111</v>
      </c>
      <c r="F4" t="s">
        <v>73</v>
      </c>
      <c r="G4" t="s">
        <v>112</v>
      </c>
      <c r="H4" t="s">
        <v>67</v>
      </c>
      <c r="I4" t="s">
        <v>113</v>
      </c>
      <c r="J4" t="s">
        <v>69</v>
      </c>
      <c r="K4" t="s">
        <v>89</v>
      </c>
      <c r="L4">
        <v>90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56</v>
      </c>
      <c r="V4">
        <v>2</v>
      </c>
      <c r="W4">
        <v>2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32</v>
      </c>
      <c r="AE4">
        <v>43</v>
      </c>
      <c r="AF4">
        <v>74.400000000000006</v>
      </c>
      <c r="AG4">
        <v>0</v>
      </c>
      <c r="AH4">
        <v>24</v>
      </c>
      <c r="AI4">
        <v>2</v>
      </c>
      <c r="AJ4">
        <v>1</v>
      </c>
      <c r="AK4">
        <v>0</v>
      </c>
      <c r="AL4" t="s">
        <v>62</v>
      </c>
    </row>
    <row r="5" spans="1:38" x14ac:dyDescent="0.45">
      <c r="A5">
        <v>2</v>
      </c>
      <c r="B5" s="2">
        <v>45794</v>
      </c>
      <c r="C5" t="s">
        <v>77</v>
      </c>
      <c r="D5" t="s">
        <v>106</v>
      </c>
      <c r="E5" t="s">
        <v>114</v>
      </c>
      <c r="F5" t="s">
        <v>115</v>
      </c>
      <c r="G5" t="s">
        <v>82</v>
      </c>
      <c r="H5" t="s">
        <v>67</v>
      </c>
      <c r="I5" t="s">
        <v>101</v>
      </c>
      <c r="J5" t="s">
        <v>69</v>
      </c>
      <c r="K5" t="s">
        <v>70</v>
      </c>
      <c r="L5">
        <v>90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W5">
        <v>0</v>
      </c>
      <c r="AL5" t="s">
        <v>62</v>
      </c>
    </row>
    <row r="6" spans="1:38" x14ac:dyDescent="0.45">
      <c r="A6">
        <v>3</v>
      </c>
      <c r="B6" s="2">
        <v>45787</v>
      </c>
      <c r="C6" t="s">
        <v>77</v>
      </c>
      <c r="D6" t="s">
        <v>108</v>
      </c>
      <c r="E6" t="s">
        <v>116</v>
      </c>
      <c r="F6" t="s">
        <v>65</v>
      </c>
      <c r="G6" t="s">
        <v>66</v>
      </c>
      <c r="H6" t="s">
        <v>67</v>
      </c>
      <c r="I6" t="s">
        <v>117</v>
      </c>
      <c r="J6" t="s">
        <v>69</v>
      </c>
      <c r="K6" t="s">
        <v>89</v>
      </c>
      <c r="L6">
        <v>90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82</v>
      </c>
      <c r="V6">
        <v>3</v>
      </c>
      <c r="W6">
        <v>1</v>
      </c>
      <c r="X6">
        <v>1</v>
      </c>
      <c r="Y6">
        <v>0.1</v>
      </c>
      <c r="Z6">
        <v>0.1</v>
      </c>
      <c r="AA6">
        <v>0</v>
      </c>
      <c r="AB6">
        <v>3</v>
      </c>
      <c r="AC6">
        <v>0</v>
      </c>
      <c r="AD6">
        <v>60</v>
      </c>
      <c r="AE6">
        <v>73</v>
      </c>
      <c r="AF6">
        <v>82.2</v>
      </c>
      <c r="AG6">
        <v>5</v>
      </c>
      <c r="AH6">
        <v>56</v>
      </c>
      <c r="AI6">
        <v>6</v>
      </c>
      <c r="AJ6">
        <v>1</v>
      </c>
      <c r="AK6">
        <v>1</v>
      </c>
      <c r="AL6" t="s">
        <v>62</v>
      </c>
    </row>
    <row r="7" spans="1:38" x14ac:dyDescent="0.45">
      <c r="A7">
        <v>4</v>
      </c>
      <c r="B7" s="2">
        <v>45779</v>
      </c>
      <c r="C7" t="s">
        <v>119</v>
      </c>
      <c r="D7" t="s">
        <v>108</v>
      </c>
      <c r="E7" t="s">
        <v>120</v>
      </c>
      <c r="F7" t="s">
        <v>73</v>
      </c>
      <c r="G7" t="s">
        <v>84</v>
      </c>
      <c r="H7" t="s">
        <v>67</v>
      </c>
      <c r="I7" t="s">
        <v>121</v>
      </c>
      <c r="J7" t="s">
        <v>69</v>
      </c>
      <c r="K7" t="s">
        <v>173</v>
      </c>
      <c r="L7">
        <v>90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2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81</v>
      </c>
      <c r="AE7">
        <v>88</v>
      </c>
      <c r="AF7">
        <v>92</v>
      </c>
      <c r="AG7">
        <v>11</v>
      </c>
      <c r="AH7">
        <v>60</v>
      </c>
      <c r="AI7">
        <v>3</v>
      </c>
      <c r="AJ7">
        <v>0</v>
      </c>
      <c r="AK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90</v>
      </c>
      <c r="M8" s="4">
        <f t="shared" ref="M8:AK8" si="0">AVERAGE(M3:M7)</f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0.8</v>
      </c>
      <c r="R8" s="4">
        <f t="shared" si="0"/>
        <v>0.4</v>
      </c>
      <c r="S8" s="4">
        <f t="shared" si="0"/>
        <v>0</v>
      </c>
      <c r="T8" s="4">
        <f t="shared" si="0"/>
        <v>0</v>
      </c>
      <c r="U8" s="4">
        <f t="shared" si="0"/>
        <v>73.75</v>
      </c>
      <c r="V8" s="4">
        <f t="shared" si="0"/>
        <v>1.75</v>
      </c>
      <c r="W8" s="4">
        <f t="shared" si="0"/>
        <v>1.6</v>
      </c>
      <c r="X8" s="4">
        <f t="shared" si="0"/>
        <v>0.75</v>
      </c>
      <c r="Y8" s="4">
        <f t="shared" si="0"/>
        <v>7.5000000000000011E-2</v>
      </c>
      <c r="Z8" s="4">
        <f t="shared" si="0"/>
        <v>7.5000000000000011E-2</v>
      </c>
      <c r="AA8" s="4">
        <f t="shared" si="0"/>
        <v>2.5000000000000001E-2</v>
      </c>
      <c r="AB8" s="4">
        <f t="shared" si="0"/>
        <v>1.75</v>
      </c>
      <c r="AC8" s="4">
        <f t="shared" si="0"/>
        <v>0</v>
      </c>
      <c r="AD8" s="4">
        <f t="shared" si="0"/>
        <v>53.5</v>
      </c>
      <c r="AE8" s="4">
        <f t="shared" si="0"/>
        <v>64.25</v>
      </c>
      <c r="AF8" s="4">
        <f t="shared" si="0"/>
        <v>81.5</v>
      </c>
      <c r="AG8" s="4">
        <f t="shared" si="0"/>
        <v>6</v>
      </c>
      <c r="AH8" s="4">
        <f t="shared" si="0"/>
        <v>42.75</v>
      </c>
      <c r="AI8" s="4">
        <f t="shared" si="0"/>
        <v>3.25</v>
      </c>
      <c r="AJ8" s="4">
        <f t="shared" si="0"/>
        <v>0.75</v>
      </c>
      <c r="AK8" s="4">
        <f t="shared" si="0"/>
        <v>0.5</v>
      </c>
    </row>
    <row r="9" spans="1:38" x14ac:dyDescent="0.45">
      <c r="A9" t="s">
        <v>245</v>
      </c>
      <c r="M9">
        <f>C12</f>
        <v>0.11</v>
      </c>
      <c r="N9">
        <f>C15</f>
        <v>0.02</v>
      </c>
      <c r="Q9">
        <f>C14</f>
        <v>0.99</v>
      </c>
      <c r="V9">
        <f>C28</f>
        <v>1.61</v>
      </c>
      <c r="W9">
        <f>C29</f>
        <v>1.19</v>
      </c>
      <c r="X9">
        <f>C30</f>
        <v>1.25</v>
      </c>
      <c r="Z9">
        <f>C13</f>
        <v>0.1</v>
      </c>
      <c r="AA9">
        <f>C17</f>
        <v>0.17</v>
      </c>
      <c r="AB9">
        <f>C18</f>
        <v>1.94</v>
      </c>
      <c r="AE9">
        <f>C20</f>
        <v>74.709999999999994</v>
      </c>
      <c r="AF9" s="5">
        <f>C21</f>
        <v>0.90700000000000003</v>
      </c>
      <c r="AG9">
        <f>C22</f>
        <v>7.35</v>
      </c>
      <c r="AK9">
        <f>C24</f>
        <v>0.64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0.11</v>
      </c>
      <c r="D12">
        <v>86</v>
      </c>
    </row>
    <row r="13" spans="1:38" x14ac:dyDescent="0.45">
      <c r="A13">
        <v>1</v>
      </c>
      <c r="B13" t="s">
        <v>127</v>
      </c>
      <c r="C13">
        <v>0.1</v>
      </c>
      <c r="D13">
        <v>89</v>
      </c>
    </row>
    <row r="14" spans="1:38" x14ac:dyDescent="0.45">
      <c r="A14">
        <v>2</v>
      </c>
      <c r="B14" t="s">
        <v>128</v>
      </c>
      <c r="C14">
        <v>0.99</v>
      </c>
      <c r="D14">
        <v>80</v>
      </c>
    </row>
    <row r="15" spans="1:38" x14ac:dyDescent="0.45">
      <c r="A15">
        <v>3</v>
      </c>
      <c r="B15" t="s">
        <v>129</v>
      </c>
      <c r="C15">
        <v>0.02</v>
      </c>
      <c r="D15">
        <v>13</v>
      </c>
    </row>
    <row r="16" spans="1:38" x14ac:dyDescent="0.45">
      <c r="A16">
        <v>4</v>
      </c>
      <c r="B16" t="s">
        <v>130</v>
      </c>
      <c r="C16">
        <v>0.06</v>
      </c>
      <c r="D16">
        <v>29</v>
      </c>
    </row>
    <row r="17" spans="1:4" x14ac:dyDescent="0.45">
      <c r="A17">
        <v>5</v>
      </c>
      <c r="B17" t="s">
        <v>131</v>
      </c>
      <c r="C17">
        <v>0.17</v>
      </c>
      <c r="D17">
        <v>59</v>
      </c>
    </row>
    <row r="18" spans="1:4" x14ac:dyDescent="0.45">
      <c r="A18">
        <v>6</v>
      </c>
      <c r="B18" t="s">
        <v>132</v>
      </c>
      <c r="C18">
        <v>1.94</v>
      </c>
      <c r="D18">
        <v>47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74.709999999999994</v>
      </c>
      <c r="D20">
        <v>97</v>
      </c>
    </row>
    <row r="21" spans="1:4" x14ac:dyDescent="0.45">
      <c r="A21">
        <v>9</v>
      </c>
      <c r="B21" t="s">
        <v>134</v>
      </c>
      <c r="C21" s="5">
        <v>0.90700000000000003</v>
      </c>
      <c r="D21">
        <v>98</v>
      </c>
    </row>
    <row r="22" spans="1:4" x14ac:dyDescent="0.45">
      <c r="A22">
        <v>10</v>
      </c>
      <c r="B22" t="s">
        <v>135</v>
      </c>
      <c r="C22">
        <v>7.35</v>
      </c>
      <c r="D22">
        <v>97</v>
      </c>
    </row>
    <row r="23" spans="1:4" x14ac:dyDescent="0.45">
      <c r="A23">
        <v>11</v>
      </c>
      <c r="B23" t="s">
        <v>136</v>
      </c>
      <c r="C23">
        <v>2.5499999999999998</v>
      </c>
      <c r="D23">
        <v>80</v>
      </c>
    </row>
    <row r="24" spans="1:4" x14ac:dyDescent="0.45">
      <c r="A24">
        <v>12</v>
      </c>
      <c r="B24" t="s">
        <v>137</v>
      </c>
      <c r="C24">
        <v>0.64</v>
      </c>
      <c r="D24">
        <v>58</v>
      </c>
    </row>
    <row r="25" spans="1:4" x14ac:dyDescent="0.45">
      <c r="A25">
        <v>13</v>
      </c>
      <c r="B25" t="s">
        <v>138</v>
      </c>
      <c r="C25">
        <v>2.5099999999999998</v>
      </c>
      <c r="D25">
        <v>88</v>
      </c>
    </row>
    <row r="26" spans="1:4" x14ac:dyDescent="0.45">
      <c r="A26">
        <v>14</v>
      </c>
      <c r="B26" t="s">
        <v>139</v>
      </c>
      <c r="C26">
        <v>3.28</v>
      </c>
      <c r="D26">
        <v>28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1.61</v>
      </c>
      <c r="D28">
        <v>27</v>
      </c>
    </row>
    <row r="29" spans="1:4" x14ac:dyDescent="0.45">
      <c r="A29">
        <v>17</v>
      </c>
      <c r="B29" t="s">
        <v>141</v>
      </c>
      <c r="C29">
        <v>1.19</v>
      </c>
      <c r="D29">
        <v>76</v>
      </c>
    </row>
    <row r="30" spans="1:4" x14ac:dyDescent="0.45">
      <c r="A30">
        <v>18</v>
      </c>
      <c r="B30" t="s">
        <v>51</v>
      </c>
      <c r="C30">
        <v>1.25</v>
      </c>
      <c r="D30">
        <v>69</v>
      </c>
    </row>
    <row r="31" spans="1:4" x14ac:dyDescent="0.45">
      <c r="A31">
        <v>19</v>
      </c>
      <c r="B31" t="s">
        <v>142</v>
      </c>
      <c r="C31">
        <v>3.12</v>
      </c>
      <c r="D31">
        <v>69</v>
      </c>
    </row>
    <row r="32" spans="1:4" x14ac:dyDescent="0.45">
      <c r="A32">
        <v>20</v>
      </c>
      <c r="B32" t="s">
        <v>143</v>
      </c>
      <c r="C32">
        <v>1.43</v>
      </c>
      <c r="D32">
        <v>85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zoomScale="93" workbookViewId="0">
      <selection activeCell="AE8" sqref="AE8:AG9"/>
    </sheetView>
  </sheetViews>
  <sheetFormatPr defaultRowHeight="16.75" x14ac:dyDescent="0.45"/>
  <sheetData>
    <row r="1" spans="1:38" x14ac:dyDescent="0.45">
      <c r="B1" s="2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s="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45814</v>
      </c>
      <c r="C3" t="s">
        <v>119</v>
      </c>
      <c r="D3" t="s">
        <v>176</v>
      </c>
      <c r="E3" t="s">
        <v>177</v>
      </c>
      <c r="F3" t="s">
        <v>65</v>
      </c>
      <c r="G3" t="s">
        <v>178</v>
      </c>
      <c r="H3" t="s">
        <v>179</v>
      </c>
      <c r="I3" t="s">
        <v>180</v>
      </c>
      <c r="J3" t="s">
        <v>69</v>
      </c>
      <c r="K3" t="s">
        <v>92</v>
      </c>
      <c r="L3">
        <v>55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W3">
        <v>0</v>
      </c>
      <c r="AL3" t="s">
        <v>62</v>
      </c>
    </row>
    <row r="4" spans="1:38" x14ac:dyDescent="0.45">
      <c r="A4">
        <v>1</v>
      </c>
      <c r="B4" s="2">
        <v>45802</v>
      </c>
      <c r="C4" t="s">
        <v>63</v>
      </c>
      <c r="D4" t="s">
        <v>108</v>
      </c>
      <c r="E4" t="s">
        <v>109</v>
      </c>
      <c r="F4" t="s">
        <v>65</v>
      </c>
      <c r="G4" t="s">
        <v>74</v>
      </c>
      <c r="H4" t="s">
        <v>67</v>
      </c>
      <c r="I4" t="s">
        <v>110</v>
      </c>
      <c r="J4" t="s">
        <v>91</v>
      </c>
      <c r="K4" t="s">
        <v>181</v>
      </c>
      <c r="L4">
        <v>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</v>
      </c>
      <c r="AE4">
        <v>11</v>
      </c>
      <c r="AF4">
        <v>63.6</v>
      </c>
      <c r="AG4">
        <v>1</v>
      </c>
      <c r="AH4">
        <v>8</v>
      </c>
      <c r="AI4">
        <v>0</v>
      </c>
      <c r="AJ4">
        <v>0</v>
      </c>
      <c r="AK4">
        <v>0</v>
      </c>
      <c r="AL4" t="s">
        <v>62</v>
      </c>
    </row>
    <row r="5" spans="1:38" x14ac:dyDescent="0.45">
      <c r="A5">
        <v>2</v>
      </c>
      <c r="B5" s="2">
        <v>45797</v>
      </c>
      <c r="C5" t="s">
        <v>103</v>
      </c>
      <c r="D5" t="s">
        <v>108</v>
      </c>
      <c r="E5" t="s">
        <v>111</v>
      </c>
      <c r="F5" t="s">
        <v>73</v>
      </c>
      <c r="G5" t="s">
        <v>112</v>
      </c>
      <c r="H5" t="s">
        <v>67</v>
      </c>
      <c r="I5" t="s">
        <v>113</v>
      </c>
      <c r="J5" t="s">
        <v>76</v>
      </c>
      <c r="K5" t="s">
        <v>181</v>
      </c>
      <c r="L5">
        <v>68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50</v>
      </c>
      <c r="V5">
        <v>0</v>
      </c>
      <c r="W5">
        <v>0</v>
      </c>
      <c r="X5">
        <v>0</v>
      </c>
      <c r="Y5">
        <v>0.9</v>
      </c>
      <c r="Z5">
        <v>0.9</v>
      </c>
      <c r="AA5">
        <v>0.1</v>
      </c>
      <c r="AB5">
        <v>2</v>
      </c>
      <c r="AC5">
        <v>0</v>
      </c>
      <c r="AD5">
        <v>36</v>
      </c>
      <c r="AE5">
        <v>44</v>
      </c>
      <c r="AF5">
        <v>81.8</v>
      </c>
      <c r="AG5">
        <v>3</v>
      </c>
      <c r="AH5">
        <v>36</v>
      </c>
      <c r="AI5">
        <v>1</v>
      </c>
      <c r="AJ5">
        <v>0</v>
      </c>
      <c r="AK5">
        <v>0</v>
      </c>
      <c r="AL5" t="s">
        <v>62</v>
      </c>
    </row>
    <row r="6" spans="1:38" x14ac:dyDescent="0.45">
      <c r="A6">
        <v>3</v>
      </c>
      <c r="B6" s="2">
        <v>45794</v>
      </c>
      <c r="C6" t="s">
        <v>77</v>
      </c>
      <c r="D6" t="s">
        <v>106</v>
      </c>
      <c r="E6" t="s">
        <v>114</v>
      </c>
      <c r="F6" t="s">
        <v>115</v>
      </c>
      <c r="G6" t="s">
        <v>82</v>
      </c>
      <c r="H6" t="s">
        <v>67</v>
      </c>
      <c r="I6" t="s">
        <v>101</v>
      </c>
      <c r="J6" t="s">
        <v>76</v>
      </c>
      <c r="K6" t="s">
        <v>98</v>
      </c>
      <c r="L6">
        <v>90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1</v>
      </c>
      <c r="T6">
        <v>0</v>
      </c>
      <c r="W6">
        <v>0</v>
      </c>
      <c r="AL6" t="s">
        <v>62</v>
      </c>
    </row>
    <row r="7" spans="1:38" x14ac:dyDescent="0.45">
      <c r="A7">
        <v>4</v>
      </c>
      <c r="B7" s="2">
        <v>45787</v>
      </c>
      <c r="C7" t="s">
        <v>77</v>
      </c>
      <c r="D7" t="s">
        <v>108</v>
      </c>
      <c r="E7" t="s">
        <v>116</v>
      </c>
      <c r="F7" t="s">
        <v>65</v>
      </c>
      <c r="G7" t="s">
        <v>66</v>
      </c>
      <c r="H7" t="s">
        <v>67</v>
      </c>
      <c r="I7" t="s">
        <v>117</v>
      </c>
      <c r="J7" t="s">
        <v>76</v>
      </c>
      <c r="K7" t="s">
        <v>118</v>
      </c>
      <c r="L7">
        <v>90</v>
      </c>
      <c r="M7">
        <v>0</v>
      </c>
      <c r="N7">
        <v>0</v>
      </c>
      <c r="O7">
        <v>0</v>
      </c>
      <c r="P7">
        <v>0</v>
      </c>
      <c r="Q7">
        <v>5</v>
      </c>
      <c r="R7">
        <v>1</v>
      </c>
      <c r="S7">
        <v>0</v>
      </c>
      <c r="T7">
        <v>0</v>
      </c>
      <c r="U7">
        <v>97</v>
      </c>
      <c r="V7">
        <v>0</v>
      </c>
      <c r="W7">
        <v>0</v>
      </c>
      <c r="X7">
        <v>0</v>
      </c>
      <c r="Y7">
        <v>0.4</v>
      </c>
      <c r="Z7">
        <v>0.4</v>
      </c>
      <c r="AA7">
        <v>0.3</v>
      </c>
      <c r="AB7">
        <v>7</v>
      </c>
      <c r="AC7">
        <v>0</v>
      </c>
      <c r="AD7">
        <v>66</v>
      </c>
      <c r="AE7">
        <v>89</v>
      </c>
      <c r="AF7">
        <v>74.2</v>
      </c>
      <c r="AG7">
        <v>18</v>
      </c>
      <c r="AH7">
        <v>57</v>
      </c>
      <c r="AI7">
        <v>3</v>
      </c>
      <c r="AJ7">
        <v>2</v>
      </c>
      <c r="AK7">
        <v>1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 t="shared" ref="L8:AK8" si="0">AVERAGE(L4:L7)</f>
        <v>63.5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3</v>
      </c>
      <c r="R8" s="4">
        <f t="shared" si="0"/>
        <v>0.25</v>
      </c>
      <c r="S8" s="4">
        <f t="shared" si="0"/>
        <v>0.25</v>
      </c>
      <c r="T8" s="4">
        <f t="shared" si="0"/>
        <v>0</v>
      </c>
      <c r="U8" s="4">
        <f t="shared" si="0"/>
        <v>52.666666666666664</v>
      </c>
      <c r="V8" s="4">
        <f t="shared" si="0"/>
        <v>0</v>
      </c>
      <c r="W8" s="4">
        <f t="shared" si="0"/>
        <v>0</v>
      </c>
      <c r="X8" s="4">
        <f t="shared" si="0"/>
        <v>0</v>
      </c>
      <c r="Y8" s="4">
        <f t="shared" si="0"/>
        <v>0.43333333333333335</v>
      </c>
      <c r="Z8" s="4">
        <f t="shared" si="0"/>
        <v>0.43333333333333335</v>
      </c>
      <c r="AA8" s="4">
        <f t="shared" si="0"/>
        <v>0.13333333333333333</v>
      </c>
      <c r="AB8" s="4">
        <f t="shared" si="0"/>
        <v>3</v>
      </c>
      <c r="AC8" s="4">
        <f t="shared" si="0"/>
        <v>0</v>
      </c>
      <c r="AD8" s="4">
        <f t="shared" si="0"/>
        <v>36.333333333333336</v>
      </c>
      <c r="AE8" s="4">
        <f t="shared" si="0"/>
        <v>48</v>
      </c>
      <c r="AF8" s="4">
        <f t="shared" si="0"/>
        <v>73.2</v>
      </c>
      <c r="AG8" s="4">
        <f t="shared" si="0"/>
        <v>7.333333333333333</v>
      </c>
      <c r="AH8" s="4">
        <f t="shared" si="0"/>
        <v>33.666666666666664</v>
      </c>
      <c r="AI8" s="4">
        <f t="shared" si="0"/>
        <v>1.3333333333333333</v>
      </c>
      <c r="AJ8" s="4">
        <f t="shared" si="0"/>
        <v>0.66666666666666663</v>
      </c>
      <c r="AK8" s="4">
        <f t="shared" si="0"/>
        <v>0.33333333333333331</v>
      </c>
    </row>
    <row r="9" spans="1:38" x14ac:dyDescent="0.45">
      <c r="A9" t="s">
        <v>245</v>
      </c>
      <c r="M9">
        <f>C12</f>
        <v>0.17</v>
      </c>
      <c r="N9">
        <f>C15</f>
        <v>0.3</v>
      </c>
      <c r="Q9">
        <f>C14</f>
        <v>3</v>
      </c>
      <c r="V9">
        <f>C28</f>
        <v>0.99</v>
      </c>
      <c r="W9">
        <f>C29</f>
        <v>0.3</v>
      </c>
      <c r="X9">
        <f>C30</f>
        <v>0.51</v>
      </c>
      <c r="Z9">
        <f>C13</f>
        <v>0.25</v>
      </c>
      <c r="AA9">
        <f>C17</f>
        <v>0.68</v>
      </c>
      <c r="AB9">
        <f>C18</f>
        <v>5.7</v>
      </c>
      <c r="AE9">
        <f>C20</f>
        <v>63.03</v>
      </c>
      <c r="AF9" s="5">
        <f>C21</f>
        <v>0.751</v>
      </c>
      <c r="AG9">
        <f>C22</f>
        <v>8.15</v>
      </c>
      <c r="AK9">
        <f>C24</f>
        <v>0.64</v>
      </c>
    </row>
    <row r="10" spans="1:38" x14ac:dyDescent="0.45">
      <c r="B10" t="s">
        <v>123</v>
      </c>
      <c r="C10" t="s">
        <v>124</v>
      </c>
      <c r="D10" t="s">
        <v>125</v>
      </c>
    </row>
    <row r="12" spans="1:38" x14ac:dyDescent="0.45">
      <c r="A12">
        <v>0</v>
      </c>
      <c r="B12" t="s">
        <v>126</v>
      </c>
      <c r="C12">
        <v>0.17</v>
      </c>
      <c r="D12">
        <v>27</v>
      </c>
    </row>
    <row r="13" spans="1:38" x14ac:dyDescent="0.45">
      <c r="A13">
        <v>1</v>
      </c>
      <c r="B13" t="s">
        <v>127</v>
      </c>
      <c r="C13">
        <v>0.25</v>
      </c>
      <c r="D13">
        <v>59</v>
      </c>
    </row>
    <row r="14" spans="1:38" x14ac:dyDescent="0.45">
      <c r="A14">
        <v>2</v>
      </c>
      <c r="B14" t="s">
        <v>128</v>
      </c>
      <c r="C14">
        <v>3</v>
      </c>
      <c r="D14">
        <v>83</v>
      </c>
    </row>
    <row r="15" spans="1:38" x14ac:dyDescent="0.45">
      <c r="A15">
        <v>3</v>
      </c>
      <c r="B15" t="s">
        <v>129</v>
      </c>
      <c r="C15">
        <v>0.3</v>
      </c>
      <c r="D15">
        <v>83</v>
      </c>
    </row>
    <row r="16" spans="1:38" x14ac:dyDescent="0.45">
      <c r="A16">
        <v>4</v>
      </c>
      <c r="B16" t="s">
        <v>130</v>
      </c>
      <c r="C16">
        <v>0.43</v>
      </c>
      <c r="D16">
        <v>99</v>
      </c>
    </row>
    <row r="17" spans="1:4" x14ac:dyDescent="0.45">
      <c r="A17">
        <v>5</v>
      </c>
      <c r="B17" t="s">
        <v>131</v>
      </c>
      <c r="C17">
        <v>0.68</v>
      </c>
      <c r="D17">
        <v>91</v>
      </c>
    </row>
    <row r="18" spans="1:4" x14ac:dyDescent="0.45">
      <c r="A18">
        <v>6</v>
      </c>
      <c r="B18" t="s">
        <v>132</v>
      </c>
      <c r="C18">
        <v>5.7</v>
      </c>
      <c r="D18">
        <v>95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63.03</v>
      </c>
      <c r="D20">
        <v>97</v>
      </c>
    </row>
    <row r="21" spans="1:4" x14ac:dyDescent="0.45">
      <c r="A21">
        <v>9</v>
      </c>
      <c r="B21" t="s">
        <v>134</v>
      </c>
      <c r="C21" s="5">
        <v>0.751</v>
      </c>
      <c r="D21">
        <v>46</v>
      </c>
    </row>
    <row r="22" spans="1:4" x14ac:dyDescent="0.45">
      <c r="A22">
        <v>10</v>
      </c>
      <c r="B22" t="s">
        <v>135</v>
      </c>
      <c r="C22">
        <v>8.15</v>
      </c>
      <c r="D22">
        <v>98</v>
      </c>
    </row>
    <row r="23" spans="1:4" x14ac:dyDescent="0.45">
      <c r="A23">
        <v>11</v>
      </c>
      <c r="B23" t="s">
        <v>136</v>
      </c>
      <c r="C23">
        <v>2.79</v>
      </c>
      <c r="D23">
        <v>35</v>
      </c>
    </row>
    <row r="24" spans="1:4" x14ac:dyDescent="0.45">
      <c r="A24">
        <v>12</v>
      </c>
      <c r="B24" t="s">
        <v>137</v>
      </c>
      <c r="C24">
        <v>0.64</v>
      </c>
      <c r="D24">
        <v>4</v>
      </c>
    </row>
    <row r="25" spans="1:4" x14ac:dyDescent="0.45">
      <c r="A25">
        <v>13</v>
      </c>
      <c r="B25" t="s">
        <v>138</v>
      </c>
      <c r="C25">
        <v>4.46</v>
      </c>
      <c r="D25">
        <v>55</v>
      </c>
    </row>
    <row r="26" spans="1:4" x14ac:dyDescent="0.45">
      <c r="A26">
        <v>14</v>
      </c>
      <c r="B26" t="s">
        <v>139</v>
      </c>
      <c r="C26">
        <v>8.23</v>
      </c>
      <c r="D26">
        <v>60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0.99</v>
      </c>
      <c r="D28">
        <v>28</v>
      </c>
    </row>
    <row r="29" spans="1:4" x14ac:dyDescent="0.45">
      <c r="A29">
        <v>17</v>
      </c>
      <c r="B29" t="s">
        <v>141</v>
      </c>
      <c r="C29">
        <v>0.3</v>
      </c>
      <c r="D29">
        <v>20</v>
      </c>
    </row>
    <row r="30" spans="1:4" x14ac:dyDescent="0.45">
      <c r="A30">
        <v>18</v>
      </c>
      <c r="B30" t="s">
        <v>51</v>
      </c>
      <c r="C30">
        <v>0.51</v>
      </c>
      <c r="D30">
        <v>12</v>
      </c>
    </row>
    <row r="31" spans="1:4" x14ac:dyDescent="0.45">
      <c r="A31">
        <v>19</v>
      </c>
      <c r="B31" t="s">
        <v>142</v>
      </c>
      <c r="C31">
        <v>0.47</v>
      </c>
      <c r="D31">
        <v>37</v>
      </c>
    </row>
    <row r="32" spans="1:4" x14ac:dyDescent="0.45">
      <c r="A32">
        <v>20</v>
      </c>
      <c r="B32" t="s">
        <v>143</v>
      </c>
      <c r="C32">
        <v>0.21</v>
      </c>
      <c r="D32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O1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45797</v>
      </c>
      <c r="C3" t="s">
        <v>103</v>
      </c>
      <c r="D3" t="s">
        <v>108</v>
      </c>
      <c r="E3" t="s">
        <v>111</v>
      </c>
      <c r="F3" t="s">
        <v>73</v>
      </c>
      <c r="G3" t="s">
        <v>112</v>
      </c>
      <c r="H3" t="s">
        <v>67</v>
      </c>
      <c r="I3" t="s">
        <v>113</v>
      </c>
      <c r="J3" t="s">
        <v>69</v>
      </c>
      <c r="K3" t="s">
        <v>98</v>
      </c>
      <c r="L3">
        <v>66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91</v>
      </c>
      <c r="V3">
        <v>1</v>
      </c>
      <c r="W3">
        <v>2</v>
      </c>
      <c r="X3">
        <v>0</v>
      </c>
      <c r="Y3">
        <v>0</v>
      </c>
      <c r="Z3">
        <v>0</v>
      </c>
      <c r="AA3">
        <v>0</v>
      </c>
      <c r="AB3">
        <v>4</v>
      </c>
      <c r="AC3">
        <v>2</v>
      </c>
      <c r="AD3">
        <v>82</v>
      </c>
      <c r="AE3">
        <v>85</v>
      </c>
      <c r="AF3">
        <v>96.5</v>
      </c>
      <c r="AG3">
        <v>8</v>
      </c>
      <c r="AH3">
        <v>63</v>
      </c>
      <c r="AI3">
        <v>2</v>
      </c>
      <c r="AJ3">
        <v>1</v>
      </c>
      <c r="AK3">
        <v>1</v>
      </c>
      <c r="AL3" t="s">
        <v>62</v>
      </c>
    </row>
    <row r="4" spans="1:38" x14ac:dyDescent="0.45">
      <c r="A4">
        <v>1</v>
      </c>
      <c r="B4" s="2">
        <v>45787</v>
      </c>
      <c r="C4" t="s">
        <v>77</v>
      </c>
      <c r="D4" t="s">
        <v>108</v>
      </c>
      <c r="E4" t="s">
        <v>116</v>
      </c>
      <c r="F4" t="s">
        <v>65</v>
      </c>
      <c r="G4" t="s">
        <v>66</v>
      </c>
      <c r="H4" t="s">
        <v>67</v>
      </c>
      <c r="I4" t="s">
        <v>117</v>
      </c>
      <c r="J4" t="s">
        <v>69</v>
      </c>
      <c r="K4" t="s">
        <v>98</v>
      </c>
      <c r="L4">
        <v>83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73</v>
      </c>
      <c r="V4">
        <v>1</v>
      </c>
      <c r="W4">
        <v>2</v>
      </c>
      <c r="X4">
        <v>0</v>
      </c>
      <c r="Y4">
        <v>0.1</v>
      </c>
      <c r="Z4">
        <v>0.1</v>
      </c>
      <c r="AA4">
        <v>0</v>
      </c>
      <c r="AB4">
        <v>6</v>
      </c>
      <c r="AC4">
        <v>0</v>
      </c>
      <c r="AD4">
        <v>56</v>
      </c>
      <c r="AE4">
        <v>64</v>
      </c>
      <c r="AF4">
        <v>87.5</v>
      </c>
      <c r="AG4">
        <v>7</v>
      </c>
      <c r="AH4">
        <v>50</v>
      </c>
      <c r="AI4">
        <v>2</v>
      </c>
      <c r="AJ4">
        <v>1</v>
      </c>
      <c r="AK4">
        <v>1</v>
      </c>
      <c r="AL4" t="s">
        <v>62</v>
      </c>
    </row>
    <row r="5" spans="1:38" x14ac:dyDescent="0.45">
      <c r="A5">
        <v>2</v>
      </c>
      <c r="B5" s="2">
        <v>45779</v>
      </c>
      <c r="C5" t="s">
        <v>119</v>
      </c>
      <c r="D5" t="s">
        <v>108</v>
      </c>
      <c r="E5" t="s">
        <v>120</v>
      </c>
      <c r="F5" t="s">
        <v>73</v>
      </c>
      <c r="G5" t="s">
        <v>84</v>
      </c>
      <c r="H5" t="s">
        <v>67</v>
      </c>
      <c r="I5" t="s">
        <v>121</v>
      </c>
      <c r="J5" t="s">
        <v>69</v>
      </c>
      <c r="K5" t="s">
        <v>98</v>
      </c>
      <c r="L5">
        <v>89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100</v>
      </c>
      <c r="V5">
        <v>6</v>
      </c>
      <c r="W5">
        <v>0</v>
      </c>
      <c r="X5">
        <v>1</v>
      </c>
      <c r="Y5">
        <v>0.1</v>
      </c>
      <c r="Z5">
        <v>0.1</v>
      </c>
      <c r="AA5">
        <v>0</v>
      </c>
      <c r="AB5">
        <v>4</v>
      </c>
      <c r="AC5">
        <v>0</v>
      </c>
      <c r="AD5">
        <v>81</v>
      </c>
      <c r="AE5">
        <v>87</v>
      </c>
      <c r="AF5">
        <v>93.1</v>
      </c>
      <c r="AG5">
        <v>7</v>
      </c>
      <c r="AH5">
        <v>73</v>
      </c>
      <c r="AI5">
        <v>1</v>
      </c>
      <c r="AJ5">
        <v>1</v>
      </c>
      <c r="AK5">
        <v>0</v>
      </c>
      <c r="AL5" t="s">
        <v>62</v>
      </c>
    </row>
    <row r="6" spans="1:38" x14ac:dyDescent="0.45">
      <c r="A6">
        <v>3</v>
      </c>
      <c r="B6" s="2">
        <v>45774</v>
      </c>
      <c r="C6" t="s">
        <v>63</v>
      </c>
      <c r="D6" t="s">
        <v>106</v>
      </c>
      <c r="E6" t="s">
        <v>169</v>
      </c>
      <c r="F6" t="s">
        <v>65</v>
      </c>
      <c r="G6" t="s">
        <v>74</v>
      </c>
      <c r="H6" t="s">
        <v>67</v>
      </c>
      <c r="I6" t="s">
        <v>83</v>
      </c>
      <c r="J6" t="s">
        <v>69</v>
      </c>
      <c r="K6" t="s">
        <v>98</v>
      </c>
      <c r="L6">
        <v>88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W6">
        <v>1</v>
      </c>
      <c r="AL6" t="s">
        <v>62</v>
      </c>
    </row>
    <row r="7" spans="1:38" x14ac:dyDescent="0.45">
      <c r="A7">
        <v>4</v>
      </c>
      <c r="B7" s="2">
        <v>45769</v>
      </c>
      <c r="C7" t="s">
        <v>103</v>
      </c>
      <c r="D7" t="s">
        <v>108</v>
      </c>
      <c r="E7" t="s">
        <v>174</v>
      </c>
      <c r="F7" t="s">
        <v>73</v>
      </c>
      <c r="G7" t="s">
        <v>170</v>
      </c>
      <c r="H7" t="s">
        <v>67</v>
      </c>
      <c r="I7" t="s">
        <v>175</v>
      </c>
      <c r="J7" t="s">
        <v>69</v>
      </c>
      <c r="K7" t="s">
        <v>98</v>
      </c>
      <c r="L7">
        <v>90</v>
      </c>
      <c r="M7">
        <v>0</v>
      </c>
      <c r="N7">
        <v>0</v>
      </c>
      <c r="O7">
        <v>0</v>
      </c>
      <c r="P7">
        <v>0</v>
      </c>
      <c r="Q7">
        <v>2</v>
      </c>
      <c r="R7">
        <v>2</v>
      </c>
      <c r="S7">
        <v>0</v>
      </c>
      <c r="T7">
        <v>0</v>
      </c>
      <c r="U7">
        <v>70</v>
      </c>
      <c r="V7">
        <v>2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55</v>
      </c>
      <c r="AE7">
        <v>62</v>
      </c>
      <c r="AF7">
        <v>88.7</v>
      </c>
      <c r="AG7">
        <v>6</v>
      </c>
      <c r="AH7">
        <v>55</v>
      </c>
      <c r="AI7">
        <v>2</v>
      </c>
      <c r="AJ7">
        <v>0</v>
      </c>
      <c r="AK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83.2</v>
      </c>
      <c r="M8" s="4">
        <f t="shared" ref="M8:AK8" si="0">AVERAGE(M3:M7)</f>
        <v>0</v>
      </c>
      <c r="N8" s="4">
        <f t="shared" si="0"/>
        <v>0.4</v>
      </c>
      <c r="O8" s="4">
        <f t="shared" si="0"/>
        <v>0</v>
      </c>
      <c r="P8" s="4">
        <f t="shared" si="0"/>
        <v>0</v>
      </c>
      <c r="Q8" s="4">
        <f t="shared" si="0"/>
        <v>2</v>
      </c>
      <c r="R8" s="4">
        <f t="shared" si="0"/>
        <v>0.6</v>
      </c>
      <c r="S8" s="4">
        <f t="shared" si="0"/>
        <v>0</v>
      </c>
      <c r="T8" s="4">
        <f t="shared" si="0"/>
        <v>0.2</v>
      </c>
      <c r="U8" s="4">
        <f t="shared" si="0"/>
        <v>83.5</v>
      </c>
      <c r="V8" s="4">
        <f t="shared" si="0"/>
        <v>2.5</v>
      </c>
      <c r="W8" s="4">
        <f t="shared" si="0"/>
        <v>1.2</v>
      </c>
      <c r="X8" s="4">
        <f t="shared" si="0"/>
        <v>0.5</v>
      </c>
      <c r="Y8" s="4">
        <f t="shared" si="0"/>
        <v>0.05</v>
      </c>
      <c r="Z8" s="4">
        <f t="shared" si="0"/>
        <v>0.05</v>
      </c>
      <c r="AA8" s="4">
        <f t="shared" si="0"/>
        <v>0</v>
      </c>
      <c r="AB8" s="4">
        <f t="shared" si="0"/>
        <v>3.75</v>
      </c>
      <c r="AC8" s="4">
        <f t="shared" si="0"/>
        <v>0.5</v>
      </c>
      <c r="AD8" s="4">
        <f t="shared" si="0"/>
        <v>68.5</v>
      </c>
      <c r="AE8" s="4">
        <f t="shared" si="0"/>
        <v>74.5</v>
      </c>
      <c r="AF8" s="4">
        <f t="shared" si="0"/>
        <v>91.45</v>
      </c>
      <c r="AG8" s="4">
        <f t="shared" si="0"/>
        <v>7</v>
      </c>
      <c r="AH8" s="4">
        <f t="shared" si="0"/>
        <v>60.25</v>
      </c>
      <c r="AI8" s="4">
        <f t="shared" si="0"/>
        <v>1.75</v>
      </c>
      <c r="AJ8" s="4">
        <f t="shared" si="0"/>
        <v>0.75</v>
      </c>
      <c r="AK8" s="4">
        <f t="shared" si="0"/>
        <v>0.5</v>
      </c>
    </row>
    <row r="9" spans="1:38" x14ac:dyDescent="0.45">
      <c r="A9" t="s">
        <v>245</v>
      </c>
      <c r="M9">
        <f>C12</f>
        <v>0.25</v>
      </c>
      <c r="N9">
        <f>C15</f>
        <v>7.0000000000000007E-2</v>
      </c>
      <c r="Q9">
        <f>C14</f>
        <v>1.8</v>
      </c>
      <c r="V9">
        <f>C28</f>
        <v>2.66</v>
      </c>
      <c r="W9">
        <f>C29</f>
        <v>0.9</v>
      </c>
      <c r="X9">
        <f>C30</f>
        <v>0.79</v>
      </c>
      <c r="Z9">
        <f>C13</f>
        <v>0.08</v>
      </c>
      <c r="AA9">
        <f>C17</f>
        <v>0.21</v>
      </c>
      <c r="AB9">
        <f>C18</f>
        <v>2.91</v>
      </c>
      <c r="AE9">
        <f>C20</f>
        <v>78.22</v>
      </c>
      <c r="AF9" s="5">
        <f>C21</f>
        <v>0.92700000000000005</v>
      </c>
      <c r="AG9">
        <f>C22</f>
        <v>6.93</v>
      </c>
      <c r="AK9">
        <f>C24</f>
        <v>0.9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0.25</v>
      </c>
      <c r="D12">
        <v>95</v>
      </c>
    </row>
    <row r="13" spans="1:38" x14ac:dyDescent="0.45">
      <c r="A13">
        <v>1</v>
      </c>
      <c r="B13" t="s">
        <v>127</v>
      </c>
      <c r="C13">
        <v>0.08</v>
      </c>
      <c r="D13">
        <v>59</v>
      </c>
    </row>
    <row r="14" spans="1:38" x14ac:dyDescent="0.45">
      <c r="A14">
        <v>2</v>
      </c>
      <c r="B14" t="s">
        <v>128</v>
      </c>
      <c r="C14">
        <v>1.8</v>
      </c>
      <c r="D14">
        <v>90</v>
      </c>
    </row>
    <row r="15" spans="1:38" x14ac:dyDescent="0.45">
      <c r="A15">
        <v>3</v>
      </c>
      <c r="B15" t="s">
        <v>129</v>
      </c>
      <c r="C15">
        <v>7.0000000000000007E-2</v>
      </c>
      <c r="D15">
        <v>50</v>
      </c>
    </row>
    <row r="16" spans="1:38" x14ac:dyDescent="0.45">
      <c r="A16">
        <v>4</v>
      </c>
      <c r="B16" t="s">
        <v>130</v>
      </c>
      <c r="C16">
        <v>0.13</v>
      </c>
      <c r="D16">
        <v>79</v>
      </c>
    </row>
    <row r="17" spans="1:4" x14ac:dyDescent="0.45">
      <c r="A17">
        <v>5</v>
      </c>
      <c r="B17" t="s">
        <v>131</v>
      </c>
      <c r="C17">
        <v>0.21</v>
      </c>
      <c r="D17">
        <v>70</v>
      </c>
    </row>
    <row r="18" spans="1:4" x14ac:dyDescent="0.45">
      <c r="A18">
        <v>6</v>
      </c>
      <c r="B18" t="s">
        <v>132</v>
      </c>
      <c r="C18">
        <v>2.91</v>
      </c>
      <c r="D18">
        <v>75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78.22</v>
      </c>
      <c r="D20">
        <v>95</v>
      </c>
    </row>
    <row r="21" spans="1:4" x14ac:dyDescent="0.45">
      <c r="A21">
        <v>9</v>
      </c>
      <c r="B21" t="s">
        <v>134</v>
      </c>
      <c r="C21" s="5">
        <v>0.92700000000000005</v>
      </c>
      <c r="D21">
        <v>98</v>
      </c>
    </row>
    <row r="22" spans="1:4" x14ac:dyDescent="0.45">
      <c r="A22">
        <v>10</v>
      </c>
      <c r="B22" t="s">
        <v>135</v>
      </c>
      <c r="C22">
        <v>6.93</v>
      </c>
      <c r="D22">
        <v>88</v>
      </c>
    </row>
    <row r="23" spans="1:4" x14ac:dyDescent="0.45">
      <c r="A23">
        <v>11</v>
      </c>
      <c r="B23" t="s">
        <v>136</v>
      </c>
      <c r="C23">
        <v>2.41</v>
      </c>
      <c r="D23">
        <v>91</v>
      </c>
    </row>
    <row r="24" spans="1:4" x14ac:dyDescent="0.45">
      <c r="A24">
        <v>12</v>
      </c>
      <c r="B24" t="s">
        <v>137</v>
      </c>
      <c r="C24">
        <v>0.9</v>
      </c>
      <c r="D24">
        <v>75</v>
      </c>
    </row>
    <row r="25" spans="1:4" x14ac:dyDescent="0.45">
      <c r="A25">
        <v>13</v>
      </c>
      <c r="B25" t="s">
        <v>138</v>
      </c>
      <c r="C25">
        <v>0.72</v>
      </c>
      <c r="D25">
        <v>28</v>
      </c>
    </row>
    <row r="26" spans="1:4" x14ac:dyDescent="0.45">
      <c r="A26">
        <v>14</v>
      </c>
      <c r="B26" t="s">
        <v>139</v>
      </c>
      <c r="C26">
        <v>0.79</v>
      </c>
      <c r="D26">
        <v>12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2.66</v>
      </c>
      <c r="D28">
        <v>78</v>
      </c>
    </row>
    <row r="29" spans="1:4" x14ac:dyDescent="0.45">
      <c r="A29">
        <v>17</v>
      </c>
      <c r="B29" t="s">
        <v>141</v>
      </c>
      <c r="C29">
        <v>0.9</v>
      </c>
      <c r="D29">
        <v>44</v>
      </c>
    </row>
    <row r="30" spans="1:4" x14ac:dyDescent="0.45">
      <c r="A30">
        <v>18</v>
      </c>
      <c r="B30" t="s">
        <v>51</v>
      </c>
      <c r="C30">
        <v>0.79</v>
      </c>
      <c r="D30">
        <v>12</v>
      </c>
    </row>
    <row r="31" spans="1:4" x14ac:dyDescent="0.45">
      <c r="A31">
        <v>19</v>
      </c>
      <c r="B31" t="s">
        <v>142</v>
      </c>
      <c r="C31">
        <v>0.83</v>
      </c>
      <c r="D31">
        <v>9</v>
      </c>
    </row>
    <row r="32" spans="1:4" x14ac:dyDescent="0.45">
      <c r="A32">
        <v>20</v>
      </c>
      <c r="B32" t="s">
        <v>143</v>
      </c>
      <c r="C32">
        <v>0.36</v>
      </c>
      <c r="D32">
        <v>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zoomScale="75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45816</v>
      </c>
      <c r="C3" t="s">
        <v>63</v>
      </c>
      <c r="D3" t="s">
        <v>168</v>
      </c>
      <c r="E3" t="s">
        <v>114</v>
      </c>
      <c r="F3" t="s">
        <v>73</v>
      </c>
      <c r="G3" t="s">
        <v>207</v>
      </c>
      <c r="H3" t="s">
        <v>171</v>
      </c>
      <c r="I3" t="s">
        <v>208</v>
      </c>
      <c r="J3" t="s">
        <v>69</v>
      </c>
      <c r="K3" t="s">
        <v>92</v>
      </c>
      <c r="L3">
        <v>73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1</v>
      </c>
      <c r="AL3" t="s">
        <v>62</v>
      </c>
    </row>
    <row r="4" spans="1:38" x14ac:dyDescent="0.45">
      <c r="A4">
        <v>1</v>
      </c>
      <c r="B4" s="2">
        <v>45812</v>
      </c>
      <c r="C4" t="s">
        <v>71</v>
      </c>
      <c r="D4" t="s">
        <v>168</v>
      </c>
      <c r="E4" t="s">
        <v>169</v>
      </c>
      <c r="F4" t="s">
        <v>65</v>
      </c>
      <c r="G4" t="s">
        <v>170</v>
      </c>
      <c r="H4" t="s">
        <v>171</v>
      </c>
      <c r="I4" t="s">
        <v>172</v>
      </c>
      <c r="J4" t="s">
        <v>69</v>
      </c>
      <c r="K4" t="s">
        <v>92</v>
      </c>
      <c r="L4">
        <v>90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AL4" t="s">
        <v>62</v>
      </c>
    </row>
    <row r="5" spans="1:38" x14ac:dyDescent="0.45">
      <c r="A5">
        <v>2</v>
      </c>
      <c r="B5" s="2">
        <v>45802</v>
      </c>
      <c r="C5" t="s">
        <v>63</v>
      </c>
      <c r="D5" t="s">
        <v>108</v>
      </c>
      <c r="E5" t="s">
        <v>109</v>
      </c>
      <c r="F5" t="s">
        <v>65</v>
      </c>
      <c r="G5" t="s">
        <v>74</v>
      </c>
      <c r="H5" t="s">
        <v>67</v>
      </c>
      <c r="I5" t="s">
        <v>110</v>
      </c>
      <c r="J5" t="s">
        <v>69</v>
      </c>
      <c r="K5" t="s">
        <v>98</v>
      </c>
      <c r="L5">
        <v>90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87</v>
      </c>
      <c r="V5">
        <v>2</v>
      </c>
      <c r="W5">
        <v>2</v>
      </c>
      <c r="X5">
        <v>0</v>
      </c>
      <c r="Y5">
        <v>0</v>
      </c>
      <c r="Z5">
        <v>0</v>
      </c>
      <c r="AA5">
        <v>0.6</v>
      </c>
      <c r="AB5">
        <v>4</v>
      </c>
      <c r="AC5">
        <v>0</v>
      </c>
      <c r="AD5">
        <v>61</v>
      </c>
      <c r="AE5">
        <v>81</v>
      </c>
      <c r="AF5">
        <v>75.3</v>
      </c>
      <c r="AG5">
        <v>8</v>
      </c>
      <c r="AH5">
        <v>55</v>
      </c>
      <c r="AI5">
        <v>2</v>
      </c>
      <c r="AJ5">
        <v>0</v>
      </c>
      <c r="AK5">
        <v>0</v>
      </c>
      <c r="AL5" t="s">
        <v>62</v>
      </c>
    </row>
    <row r="6" spans="1:38" x14ac:dyDescent="0.45">
      <c r="A6">
        <v>3</v>
      </c>
      <c r="B6" s="2">
        <v>45797</v>
      </c>
      <c r="C6" t="s">
        <v>103</v>
      </c>
      <c r="D6" t="s">
        <v>108</v>
      </c>
      <c r="E6" t="s">
        <v>111</v>
      </c>
      <c r="F6" t="s">
        <v>73</v>
      </c>
      <c r="G6" t="s">
        <v>112</v>
      </c>
      <c r="H6" t="s">
        <v>67</v>
      </c>
      <c r="I6" t="s">
        <v>113</v>
      </c>
      <c r="J6" t="s">
        <v>69</v>
      </c>
      <c r="K6" t="s">
        <v>100</v>
      </c>
      <c r="L6">
        <v>89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73</v>
      </c>
      <c r="V6">
        <v>1</v>
      </c>
      <c r="W6">
        <v>1</v>
      </c>
      <c r="X6">
        <v>3</v>
      </c>
      <c r="Y6">
        <v>0.3</v>
      </c>
      <c r="Z6">
        <v>0.3</v>
      </c>
      <c r="AA6">
        <v>0</v>
      </c>
      <c r="AB6">
        <v>2</v>
      </c>
      <c r="AC6">
        <v>0</v>
      </c>
      <c r="AD6">
        <v>53</v>
      </c>
      <c r="AE6">
        <v>59</v>
      </c>
      <c r="AF6">
        <v>89.8</v>
      </c>
      <c r="AG6">
        <v>4</v>
      </c>
      <c r="AH6">
        <v>42</v>
      </c>
      <c r="AI6">
        <v>1</v>
      </c>
      <c r="AJ6">
        <v>0</v>
      </c>
      <c r="AK6">
        <v>0</v>
      </c>
      <c r="AL6" t="s">
        <v>62</v>
      </c>
    </row>
    <row r="7" spans="1:38" x14ac:dyDescent="0.45">
      <c r="A7">
        <v>4</v>
      </c>
      <c r="B7" s="2">
        <v>45794</v>
      </c>
      <c r="C7" t="s">
        <v>77</v>
      </c>
      <c r="D7" t="s">
        <v>106</v>
      </c>
      <c r="E7" t="s">
        <v>114</v>
      </c>
      <c r="F7" t="s">
        <v>115</v>
      </c>
      <c r="G7" t="s">
        <v>82</v>
      </c>
      <c r="H7" t="s">
        <v>67</v>
      </c>
      <c r="I7" t="s">
        <v>101</v>
      </c>
      <c r="J7" t="s">
        <v>69</v>
      </c>
      <c r="K7" t="s">
        <v>98</v>
      </c>
      <c r="L7">
        <v>87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W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85.8</v>
      </c>
      <c r="M8" s="4">
        <f t="shared" ref="M8:AK8" si="0">AVERAGE(M3:M7)</f>
        <v>0.2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0.4</v>
      </c>
      <c r="R8" s="4">
        <f t="shared" si="0"/>
        <v>0.2</v>
      </c>
      <c r="S8" s="4">
        <f t="shared" si="0"/>
        <v>0.2</v>
      </c>
      <c r="T8" s="4">
        <f t="shared" si="0"/>
        <v>0</v>
      </c>
      <c r="U8" s="4">
        <f t="shared" si="0"/>
        <v>80</v>
      </c>
      <c r="V8" s="4">
        <f t="shared" si="0"/>
        <v>1.5</v>
      </c>
      <c r="W8" s="4">
        <f t="shared" si="0"/>
        <v>0.8</v>
      </c>
      <c r="X8" s="4">
        <f t="shared" si="0"/>
        <v>1.5</v>
      </c>
      <c r="Y8" s="4">
        <f t="shared" si="0"/>
        <v>0.15</v>
      </c>
      <c r="Z8" s="4">
        <f t="shared" si="0"/>
        <v>0.15</v>
      </c>
      <c r="AA8" s="4">
        <f t="shared" si="0"/>
        <v>0.3</v>
      </c>
      <c r="AB8" s="4">
        <f t="shared" si="0"/>
        <v>3</v>
      </c>
      <c r="AC8" s="4">
        <f t="shared" si="0"/>
        <v>0</v>
      </c>
      <c r="AD8" s="4">
        <f t="shared" si="0"/>
        <v>57</v>
      </c>
      <c r="AE8" s="4">
        <f t="shared" si="0"/>
        <v>70</v>
      </c>
      <c r="AF8" s="4">
        <f t="shared" si="0"/>
        <v>82.55</v>
      </c>
      <c r="AG8" s="4">
        <f t="shared" si="0"/>
        <v>6</v>
      </c>
      <c r="AH8" s="4">
        <f t="shared" si="0"/>
        <v>48.5</v>
      </c>
      <c r="AI8" s="4">
        <f t="shared" si="0"/>
        <v>1.5</v>
      </c>
      <c r="AJ8" s="4">
        <f t="shared" si="0"/>
        <v>0</v>
      </c>
      <c r="AK8" s="4">
        <f t="shared" si="0"/>
        <v>0</v>
      </c>
    </row>
    <row r="9" spans="1:38" x14ac:dyDescent="0.45">
      <c r="A9" t="s">
        <v>245</v>
      </c>
      <c r="M9">
        <f>C12</f>
        <v>0.1</v>
      </c>
      <c r="N9">
        <f>C15</f>
        <v>0.1</v>
      </c>
      <c r="Q9">
        <f>C14</f>
        <v>1.02</v>
      </c>
      <c r="V9">
        <f>C28</f>
        <v>1.78</v>
      </c>
      <c r="W9">
        <f>C29</f>
        <v>0.68</v>
      </c>
      <c r="X9">
        <f>C30</f>
        <v>1.26</v>
      </c>
      <c r="Z9">
        <f>C13</f>
        <v>0.13</v>
      </c>
      <c r="AA9">
        <f>C17</f>
        <v>0.28000000000000003</v>
      </c>
      <c r="AB9">
        <f>C18</f>
        <v>3.28</v>
      </c>
      <c r="AE9">
        <f>C20</f>
        <v>58.91</v>
      </c>
      <c r="AF9" s="5">
        <f>C21</f>
        <v>0.86899999999999999</v>
      </c>
      <c r="AG9">
        <f>C22</f>
        <v>4.7699999999999996</v>
      </c>
      <c r="AK9">
        <f>C24</f>
        <v>0.89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0.1</v>
      </c>
      <c r="D12">
        <v>69</v>
      </c>
    </row>
    <row r="13" spans="1:38" x14ac:dyDescent="0.45">
      <c r="A13">
        <v>1</v>
      </c>
      <c r="B13" t="s">
        <v>127</v>
      </c>
      <c r="C13">
        <v>0.13</v>
      </c>
      <c r="D13">
        <v>82</v>
      </c>
    </row>
    <row r="14" spans="1:38" x14ac:dyDescent="0.45">
      <c r="A14">
        <v>2</v>
      </c>
      <c r="B14" t="s">
        <v>128</v>
      </c>
      <c r="C14">
        <v>1.02</v>
      </c>
      <c r="D14">
        <v>54</v>
      </c>
    </row>
    <row r="15" spans="1:38" x14ac:dyDescent="0.45">
      <c r="A15">
        <v>3</v>
      </c>
      <c r="B15" t="s">
        <v>129</v>
      </c>
      <c r="C15">
        <v>0.1</v>
      </c>
      <c r="D15">
        <v>64</v>
      </c>
    </row>
    <row r="16" spans="1:38" x14ac:dyDescent="0.45">
      <c r="A16">
        <v>4</v>
      </c>
      <c r="B16" t="s">
        <v>130</v>
      </c>
      <c r="C16">
        <v>0.15</v>
      </c>
      <c r="D16">
        <v>84</v>
      </c>
    </row>
    <row r="17" spans="1:4" x14ac:dyDescent="0.45">
      <c r="A17">
        <v>5</v>
      </c>
      <c r="B17" t="s">
        <v>131</v>
      </c>
      <c r="C17">
        <v>0.28000000000000003</v>
      </c>
      <c r="D17">
        <v>84</v>
      </c>
    </row>
    <row r="18" spans="1:4" x14ac:dyDescent="0.45">
      <c r="A18">
        <v>6</v>
      </c>
      <c r="B18" t="s">
        <v>132</v>
      </c>
      <c r="C18">
        <v>3.28</v>
      </c>
      <c r="D18">
        <v>82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58.91</v>
      </c>
      <c r="D20">
        <v>76</v>
      </c>
    </row>
    <row r="21" spans="1:4" x14ac:dyDescent="0.45">
      <c r="A21">
        <v>9</v>
      </c>
      <c r="B21" t="s">
        <v>134</v>
      </c>
      <c r="C21" s="5">
        <v>0.86899999999999999</v>
      </c>
      <c r="D21">
        <v>69</v>
      </c>
    </row>
    <row r="22" spans="1:4" x14ac:dyDescent="0.45">
      <c r="A22">
        <v>10</v>
      </c>
      <c r="B22" t="s">
        <v>135</v>
      </c>
      <c r="C22">
        <v>4.7699999999999996</v>
      </c>
      <c r="D22">
        <v>55</v>
      </c>
    </row>
    <row r="23" spans="1:4" x14ac:dyDescent="0.45">
      <c r="A23">
        <v>11</v>
      </c>
      <c r="B23" t="s">
        <v>136</v>
      </c>
      <c r="C23">
        <v>3.51</v>
      </c>
      <c r="D23">
        <v>98</v>
      </c>
    </row>
    <row r="24" spans="1:4" x14ac:dyDescent="0.45">
      <c r="A24">
        <v>12</v>
      </c>
      <c r="B24" t="s">
        <v>137</v>
      </c>
      <c r="C24">
        <v>0.89</v>
      </c>
      <c r="D24">
        <v>75</v>
      </c>
    </row>
    <row r="25" spans="1:4" x14ac:dyDescent="0.45">
      <c r="A25">
        <v>13</v>
      </c>
      <c r="B25" t="s">
        <v>138</v>
      </c>
      <c r="C25">
        <v>4.6100000000000003</v>
      </c>
      <c r="D25">
        <v>99</v>
      </c>
    </row>
    <row r="26" spans="1:4" x14ac:dyDescent="0.45">
      <c r="A26">
        <v>14</v>
      </c>
      <c r="B26" t="s">
        <v>139</v>
      </c>
      <c r="C26">
        <v>7.1</v>
      </c>
      <c r="D26">
        <v>97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1.78</v>
      </c>
      <c r="D28">
        <v>35</v>
      </c>
    </row>
    <row r="29" spans="1:4" x14ac:dyDescent="0.45">
      <c r="A29">
        <v>17</v>
      </c>
      <c r="B29" t="s">
        <v>141</v>
      </c>
      <c r="C29">
        <v>0.68</v>
      </c>
      <c r="D29">
        <v>23</v>
      </c>
    </row>
    <row r="30" spans="1:4" x14ac:dyDescent="0.45">
      <c r="A30">
        <v>18</v>
      </c>
      <c r="B30" t="s">
        <v>51</v>
      </c>
      <c r="C30">
        <v>1.26</v>
      </c>
      <c r="D30">
        <v>59</v>
      </c>
    </row>
    <row r="31" spans="1:4" x14ac:dyDescent="0.45">
      <c r="A31">
        <v>19</v>
      </c>
      <c r="B31" t="s">
        <v>142</v>
      </c>
      <c r="C31">
        <v>0.94</v>
      </c>
      <c r="D31">
        <v>14</v>
      </c>
    </row>
    <row r="32" spans="1:4" x14ac:dyDescent="0.45">
      <c r="A32">
        <v>20</v>
      </c>
      <c r="B32" t="s">
        <v>143</v>
      </c>
      <c r="C32">
        <v>0.13</v>
      </c>
      <c r="D32">
        <v>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L1" workbookViewId="0">
      <selection activeCell="Z8" activeCellId="2" sqref="M8:N9 Q8:Q9 Z8:AB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45814</v>
      </c>
      <c r="C3" t="s">
        <v>119</v>
      </c>
      <c r="D3" t="s">
        <v>176</v>
      </c>
      <c r="E3" t="s">
        <v>177</v>
      </c>
      <c r="F3" t="s">
        <v>73</v>
      </c>
      <c r="G3" t="s">
        <v>184</v>
      </c>
      <c r="H3" t="s">
        <v>185</v>
      </c>
      <c r="I3" t="s">
        <v>186</v>
      </c>
      <c r="J3" t="s">
        <v>69</v>
      </c>
      <c r="K3" t="s">
        <v>187</v>
      </c>
      <c r="L3">
        <v>90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W3">
        <v>0</v>
      </c>
      <c r="AL3" t="s">
        <v>62</v>
      </c>
    </row>
    <row r="4" spans="1:38" x14ac:dyDescent="0.45">
      <c r="A4">
        <v>1</v>
      </c>
      <c r="B4" s="2">
        <v>45802</v>
      </c>
      <c r="C4" t="s">
        <v>63</v>
      </c>
      <c r="D4" t="s">
        <v>108</v>
      </c>
      <c r="E4" t="s">
        <v>109</v>
      </c>
      <c r="F4" t="s">
        <v>65</v>
      </c>
      <c r="G4" t="s">
        <v>74</v>
      </c>
      <c r="H4" t="s">
        <v>67</v>
      </c>
      <c r="I4" t="s">
        <v>110</v>
      </c>
      <c r="J4" t="s">
        <v>69</v>
      </c>
      <c r="K4" t="s">
        <v>187</v>
      </c>
      <c r="L4">
        <v>84</v>
      </c>
      <c r="M4">
        <v>1</v>
      </c>
      <c r="N4">
        <v>0</v>
      </c>
      <c r="O4">
        <v>1</v>
      </c>
      <c r="P4">
        <v>1</v>
      </c>
      <c r="Q4">
        <v>3</v>
      </c>
      <c r="R4">
        <v>0</v>
      </c>
      <c r="S4">
        <v>0</v>
      </c>
      <c r="T4">
        <v>0</v>
      </c>
      <c r="U4">
        <v>16</v>
      </c>
      <c r="V4">
        <v>0</v>
      </c>
      <c r="W4">
        <v>0</v>
      </c>
      <c r="X4">
        <v>0</v>
      </c>
      <c r="Y4">
        <v>1</v>
      </c>
      <c r="Z4">
        <v>0.2</v>
      </c>
      <c r="AA4">
        <v>0.1</v>
      </c>
      <c r="AB4">
        <v>3</v>
      </c>
      <c r="AC4">
        <v>0</v>
      </c>
      <c r="AD4">
        <v>7</v>
      </c>
      <c r="AE4">
        <v>9</v>
      </c>
      <c r="AF4">
        <v>77.8</v>
      </c>
      <c r="AG4">
        <v>1</v>
      </c>
      <c r="AH4">
        <v>10</v>
      </c>
      <c r="AI4">
        <v>1</v>
      </c>
      <c r="AJ4">
        <v>0</v>
      </c>
      <c r="AK4">
        <v>0</v>
      </c>
      <c r="AL4" t="s">
        <v>62</v>
      </c>
    </row>
    <row r="5" spans="1:38" x14ac:dyDescent="0.45">
      <c r="A5">
        <v>2</v>
      </c>
      <c r="B5" s="2">
        <v>45797</v>
      </c>
      <c r="C5" t="s">
        <v>103</v>
      </c>
      <c r="D5" t="s">
        <v>108</v>
      </c>
      <c r="E5" t="s">
        <v>111</v>
      </c>
      <c r="F5" t="s">
        <v>73</v>
      </c>
      <c r="G5" t="s">
        <v>112</v>
      </c>
      <c r="H5" t="s">
        <v>67</v>
      </c>
      <c r="I5" t="s">
        <v>113</v>
      </c>
      <c r="J5" t="s">
        <v>69</v>
      </c>
      <c r="K5" t="s">
        <v>187</v>
      </c>
      <c r="L5">
        <v>82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28</v>
      </c>
      <c r="V5">
        <v>1</v>
      </c>
      <c r="W5">
        <v>0</v>
      </c>
      <c r="X5">
        <v>1</v>
      </c>
      <c r="Y5">
        <v>0.1</v>
      </c>
      <c r="Z5">
        <v>0.1</v>
      </c>
      <c r="AA5">
        <v>0</v>
      </c>
      <c r="AB5">
        <v>3</v>
      </c>
      <c r="AC5">
        <v>0</v>
      </c>
      <c r="AD5">
        <v>14</v>
      </c>
      <c r="AE5">
        <v>19</v>
      </c>
      <c r="AF5">
        <v>73.7</v>
      </c>
      <c r="AG5">
        <v>1</v>
      </c>
      <c r="AH5">
        <v>19</v>
      </c>
      <c r="AI5">
        <v>3</v>
      </c>
      <c r="AJ5">
        <v>4</v>
      </c>
      <c r="AK5">
        <v>2</v>
      </c>
      <c r="AL5" t="s">
        <v>62</v>
      </c>
    </row>
    <row r="6" spans="1:38" x14ac:dyDescent="0.45">
      <c r="A6">
        <v>3</v>
      </c>
      <c r="B6" s="2">
        <v>45794</v>
      </c>
      <c r="C6" t="s">
        <v>77</v>
      </c>
      <c r="D6" t="s">
        <v>106</v>
      </c>
      <c r="E6" t="s">
        <v>114</v>
      </c>
      <c r="F6" t="s">
        <v>115</v>
      </c>
      <c r="G6" t="s">
        <v>82</v>
      </c>
      <c r="H6" t="s">
        <v>67</v>
      </c>
      <c r="I6" t="s">
        <v>101</v>
      </c>
      <c r="J6" t="s">
        <v>69</v>
      </c>
      <c r="K6" t="s">
        <v>187</v>
      </c>
      <c r="L6">
        <v>90</v>
      </c>
      <c r="M6">
        <v>0</v>
      </c>
      <c r="N6">
        <v>0</v>
      </c>
      <c r="O6">
        <v>0</v>
      </c>
      <c r="P6">
        <v>0</v>
      </c>
      <c r="Q6">
        <v>3</v>
      </c>
      <c r="R6">
        <v>1</v>
      </c>
      <c r="S6">
        <v>0</v>
      </c>
      <c r="T6">
        <v>0</v>
      </c>
      <c r="W6">
        <v>0</v>
      </c>
      <c r="AL6" t="s">
        <v>62</v>
      </c>
    </row>
    <row r="7" spans="1:38" x14ac:dyDescent="0.45">
      <c r="A7">
        <v>4</v>
      </c>
      <c r="B7" s="2">
        <v>45787</v>
      </c>
      <c r="C7" t="s">
        <v>77</v>
      </c>
      <c r="D7" t="s">
        <v>108</v>
      </c>
      <c r="E7" t="s">
        <v>116</v>
      </c>
      <c r="F7" t="s">
        <v>65</v>
      </c>
      <c r="G7" t="s">
        <v>66</v>
      </c>
      <c r="H7" t="s">
        <v>67</v>
      </c>
      <c r="I7" t="s">
        <v>117</v>
      </c>
      <c r="J7" t="s">
        <v>69</v>
      </c>
      <c r="K7" t="s">
        <v>187</v>
      </c>
      <c r="L7">
        <v>90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17</v>
      </c>
      <c r="V7">
        <v>1</v>
      </c>
      <c r="W7">
        <v>0</v>
      </c>
      <c r="X7">
        <v>0</v>
      </c>
      <c r="Y7">
        <v>0.1</v>
      </c>
      <c r="Z7">
        <v>0.1</v>
      </c>
      <c r="AA7">
        <v>0.2</v>
      </c>
      <c r="AB7">
        <v>3</v>
      </c>
      <c r="AC7">
        <v>0</v>
      </c>
      <c r="AD7">
        <v>9</v>
      </c>
      <c r="AE7">
        <v>12</v>
      </c>
      <c r="AF7">
        <v>75</v>
      </c>
      <c r="AG7">
        <v>0</v>
      </c>
      <c r="AH7">
        <v>9</v>
      </c>
      <c r="AI7">
        <v>1</v>
      </c>
      <c r="AJ7">
        <v>0</v>
      </c>
      <c r="AK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87.2</v>
      </c>
      <c r="M8" s="4">
        <f t="shared" ref="M8:AK8" si="0">AVERAGE(M3:M7)</f>
        <v>0.4</v>
      </c>
      <c r="N8" s="4">
        <f t="shared" si="0"/>
        <v>0</v>
      </c>
      <c r="O8" s="4">
        <f t="shared" si="0"/>
        <v>0.2</v>
      </c>
      <c r="P8" s="4">
        <f t="shared" si="0"/>
        <v>0.2</v>
      </c>
      <c r="Q8" s="4">
        <f t="shared" si="0"/>
        <v>1.8</v>
      </c>
      <c r="R8" s="4">
        <f t="shared" si="0"/>
        <v>0.6</v>
      </c>
      <c r="S8" s="4">
        <f t="shared" si="0"/>
        <v>0</v>
      </c>
      <c r="T8" s="4">
        <f t="shared" si="0"/>
        <v>0</v>
      </c>
      <c r="U8" s="4">
        <f t="shared" si="0"/>
        <v>20.333333333333332</v>
      </c>
      <c r="V8" s="4">
        <f t="shared" si="0"/>
        <v>0.66666666666666663</v>
      </c>
      <c r="W8" s="4">
        <f t="shared" si="0"/>
        <v>0</v>
      </c>
      <c r="X8" s="4">
        <f t="shared" si="0"/>
        <v>0.33333333333333331</v>
      </c>
      <c r="Y8" s="4">
        <f t="shared" si="0"/>
        <v>0.40000000000000008</v>
      </c>
      <c r="Z8" s="4">
        <f t="shared" si="0"/>
        <v>0.13333333333333333</v>
      </c>
      <c r="AA8" s="4">
        <f t="shared" si="0"/>
        <v>0.10000000000000002</v>
      </c>
      <c r="AB8" s="4">
        <f t="shared" si="0"/>
        <v>3</v>
      </c>
      <c r="AC8" s="4">
        <f t="shared" si="0"/>
        <v>0</v>
      </c>
      <c r="AD8" s="4">
        <f t="shared" si="0"/>
        <v>10</v>
      </c>
      <c r="AE8" s="4">
        <f t="shared" si="0"/>
        <v>13.333333333333334</v>
      </c>
      <c r="AF8" s="4">
        <f t="shared" si="0"/>
        <v>75.5</v>
      </c>
      <c r="AG8" s="4">
        <f t="shared" si="0"/>
        <v>0.66666666666666663</v>
      </c>
      <c r="AH8" s="4">
        <f t="shared" si="0"/>
        <v>12.666666666666666</v>
      </c>
      <c r="AI8" s="4">
        <f t="shared" si="0"/>
        <v>1.6666666666666667</v>
      </c>
      <c r="AJ8" s="4">
        <f t="shared" si="0"/>
        <v>1.3333333333333333</v>
      </c>
      <c r="AK8" s="4">
        <f t="shared" si="0"/>
        <v>0.66666666666666663</v>
      </c>
    </row>
    <row r="9" spans="1:38" x14ac:dyDescent="0.45">
      <c r="A9" t="s">
        <v>245</v>
      </c>
      <c r="M9">
        <f>C12</f>
        <v>0.64</v>
      </c>
      <c r="N9">
        <f>C15</f>
        <v>0.08</v>
      </c>
      <c r="Q9">
        <f>C14</f>
        <v>3.59</v>
      </c>
      <c r="V9">
        <f>C28</f>
        <v>0.39</v>
      </c>
      <c r="W9">
        <f>C29</f>
        <v>0.23</v>
      </c>
      <c r="X9">
        <f>C30</f>
        <v>0.39</v>
      </c>
      <c r="Z9">
        <f>C13</f>
        <v>0.65</v>
      </c>
      <c r="AA9">
        <f>C17</f>
        <v>0.74</v>
      </c>
      <c r="AB9">
        <f>C18</f>
        <v>2.16</v>
      </c>
      <c r="AE9">
        <f>C20</f>
        <v>12.09</v>
      </c>
      <c r="AF9" s="5">
        <f>C21</f>
        <v>0.68400000000000005</v>
      </c>
      <c r="AG9">
        <f>C22</f>
        <v>0.74</v>
      </c>
      <c r="AK9">
        <f>C24</f>
        <v>0.41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0.64</v>
      </c>
      <c r="D12">
        <v>91</v>
      </c>
    </row>
    <row r="13" spans="1:38" x14ac:dyDescent="0.45">
      <c r="A13">
        <v>1</v>
      </c>
      <c r="B13" t="s">
        <v>127</v>
      </c>
      <c r="C13">
        <v>0.65</v>
      </c>
      <c r="D13">
        <v>94</v>
      </c>
    </row>
    <row r="14" spans="1:38" x14ac:dyDescent="0.45">
      <c r="A14">
        <v>2</v>
      </c>
      <c r="B14" t="s">
        <v>128</v>
      </c>
      <c r="C14">
        <v>3.59</v>
      </c>
      <c r="D14">
        <v>90</v>
      </c>
    </row>
    <row r="15" spans="1:38" x14ac:dyDescent="0.45">
      <c r="A15">
        <v>3</v>
      </c>
      <c r="B15" t="s">
        <v>129</v>
      </c>
      <c r="C15">
        <v>0.08</v>
      </c>
      <c r="D15">
        <v>27</v>
      </c>
    </row>
    <row r="16" spans="1:38" x14ac:dyDescent="0.45">
      <c r="A16">
        <v>4</v>
      </c>
      <c r="B16" t="s">
        <v>130</v>
      </c>
      <c r="C16">
        <v>0.09</v>
      </c>
      <c r="D16">
        <v>33</v>
      </c>
    </row>
    <row r="17" spans="1:4" x14ac:dyDescent="0.45">
      <c r="A17">
        <v>5</v>
      </c>
      <c r="B17" t="s">
        <v>131</v>
      </c>
      <c r="C17">
        <v>0.74</v>
      </c>
      <c r="D17">
        <v>92</v>
      </c>
    </row>
    <row r="18" spans="1:4" x14ac:dyDescent="0.45">
      <c r="A18">
        <v>6</v>
      </c>
      <c r="B18" t="s">
        <v>132</v>
      </c>
      <c r="C18">
        <v>2.16</v>
      </c>
      <c r="D18">
        <v>50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12.09</v>
      </c>
      <c r="D20">
        <v>1</v>
      </c>
    </row>
    <row r="21" spans="1:4" x14ac:dyDescent="0.45">
      <c r="A21">
        <v>9</v>
      </c>
      <c r="B21" t="s">
        <v>134</v>
      </c>
      <c r="C21" s="5">
        <v>0.68400000000000005</v>
      </c>
      <c r="D21">
        <v>38</v>
      </c>
    </row>
    <row r="22" spans="1:4" x14ac:dyDescent="0.45">
      <c r="A22">
        <v>10</v>
      </c>
      <c r="B22" t="s">
        <v>135</v>
      </c>
      <c r="C22">
        <v>0.74</v>
      </c>
      <c r="D22">
        <v>6</v>
      </c>
    </row>
    <row r="23" spans="1:4" x14ac:dyDescent="0.45">
      <c r="A23">
        <v>11</v>
      </c>
      <c r="B23" t="s">
        <v>136</v>
      </c>
      <c r="C23">
        <v>0.82</v>
      </c>
      <c r="D23">
        <v>23</v>
      </c>
    </row>
    <row r="24" spans="1:4" x14ac:dyDescent="0.45">
      <c r="A24">
        <v>12</v>
      </c>
      <c r="B24" t="s">
        <v>137</v>
      </c>
      <c r="C24">
        <v>0.41</v>
      </c>
      <c r="D24">
        <v>30</v>
      </c>
    </row>
    <row r="25" spans="1:4" x14ac:dyDescent="0.45">
      <c r="A25">
        <v>13</v>
      </c>
      <c r="B25" t="s">
        <v>138</v>
      </c>
      <c r="C25">
        <v>6.37</v>
      </c>
      <c r="D25">
        <v>91</v>
      </c>
    </row>
    <row r="26" spans="1:4" x14ac:dyDescent="0.45">
      <c r="A26">
        <v>14</v>
      </c>
      <c r="B26" t="s">
        <v>139</v>
      </c>
      <c r="C26">
        <v>4.01</v>
      </c>
      <c r="D26">
        <v>16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0.39</v>
      </c>
      <c r="D28">
        <v>28</v>
      </c>
    </row>
    <row r="29" spans="1:4" x14ac:dyDescent="0.45">
      <c r="A29">
        <v>17</v>
      </c>
      <c r="B29" t="s">
        <v>141</v>
      </c>
      <c r="C29">
        <v>0.23</v>
      </c>
      <c r="D29">
        <v>57</v>
      </c>
    </row>
    <row r="30" spans="1:4" x14ac:dyDescent="0.45">
      <c r="A30">
        <v>18</v>
      </c>
      <c r="B30" t="s">
        <v>51</v>
      </c>
      <c r="C30">
        <v>0.39</v>
      </c>
      <c r="D30">
        <v>17</v>
      </c>
    </row>
    <row r="31" spans="1:4" x14ac:dyDescent="0.45">
      <c r="A31">
        <v>19</v>
      </c>
      <c r="B31" t="s">
        <v>142</v>
      </c>
      <c r="C31">
        <v>0.67</v>
      </c>
      <c r="D31">
        <v>40</v>
      </c>
    </row>
    <row r="32" spans="1:4" x14ac:dyDescent="0.45">
      <c r="A32">
        <v>20</v>
      </c>
      <c r="B32" t="s">
        <v>143</v>
      </c>
      <c r="C32">
        <v>1.75</v>
      </c>
      <c r="D32">
        <v>48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zoomScale="53" workbookViewId="0">
      <selection activeCell="AB9" sqref="Z8:AB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45751</v>
      </c>
      <c r="C3" t="s">
        <v>119</v>
      </c>
      <c r="D3" t="s">
        <v>194</v>
      </c>
      <c r="E3" t="s">
        <v>81</v>
      </c>
      <c r="F3" t="s">
        <v>65</v>
      </c>
      <c r="G3" t="s">
        <v>112</v>
      </c>
      <c r="H3" t="s">
        <v>195</v>
      </c>
      <c r="I3" t="s">
        <v>196</v>
      </c>
      <c r="J3" t="s">
        <v>69</v>
      </c>
      <c r="K3" t="s">
        <v>181</v>
      </c>
      <c r="L3">
        <v>53</v>
      </c>
      <c r="M3">
        <v>1</v>
      </c>
      <c r="N3">
        <v>0</v>
      </c>
      <c r="O3">
        <v>0</v>
      </c>
      <c r="P3">
        <v>0</v>
      </c>
      <c r="Q3">
        <v>2</v>
      </c>
      <c r="R3">
        <v>1</v>
      </c>
      <c r="S3">
        <v>0</v>
      </c>
      <c r="T3">
        <v>0</v>
      </c>
      <c r="U3">
        <v>35</v>
      </c>
      <c r="V3">
        <v>0</v>
      </c>
      <c r="W3">
        <v>1</v>
      </c>
      <c r="X3">
        <v>1</v>
      </c>
      <c r="Y3">
        <v>0.4</v>
      </c>
      <c r="Z3">
        <v>0.4</v>
      </c>
      <c r="AA3">
        <v>0</v>
      </c>
      <c r="AB3">
        <v>4</v>
      </c>
      <c r="AC3">
        <v>1</v>
      </c>
      <c r="AD3">
        <v>17</v>
      </c>
      <c r="AE3">
        <v>22</v>
      </c>
      <c r="AF3">
        <v>77.3</v>
      </c>
      <c r="AG3">
        <v>3</v>
      </c>
      <c r="AH3">
        <v>18</v>
      </c>
      <c r="AI3">
        <v>2</v>
      </c>
      <c r="AJ3">
        <v>4</v>
      </c>
      <c r="AK3">
        <v>1</v>
      </c>
      <c r="AL3" t="s">
        <v>62</v>
      </c>
    </row>
    <row r="4" spans="1:38" x14ac:dyDescent="0.45">
      <c r="A4">
        <v>1</v>
      </c>
      <c r="B4" s="2">
        <v>45745</v>
      </c>
      <c r="C4" t="s">
        <v>77</v>
      </c>
      <c r="D4" t="s">
        <v>194</v>
      </c>
      <c r="E4" t="s">
        <v>197</v>
      </c>
      <c r="F4" t="s">
        <v>73</v>
      </c>
      <c r="G4" t="s">
        <v>198</v>
      </c>
      <c r="H4" t="s">
        <v>195</v>
      </c>
      <c r="I4" t="s">
        <v>199</v>
      </c>
      <c r="J4" t="s">
        <v>69</v>
      </c>
      <c r="K4" t="s">
        <v>181</v>
      </c>
      <c r="L4">
        <v>77</v>
      </c>
      <c r="M4">
        <v>0</v>
      </c>
      <c r="N4">
        <v>0</v>
      </c>
      <c r="O4">
        <v>0</v>
      </c>
      <c r="P4">
        <v>0</v>
      </c>
      <c r="Q4">
        <v>4</v>
      </c>
      <c r="R4">
        <v>1</v>
      </c>
      <c r="S4">
        <v>0</v>
      </c>
      <c r="T4">
        <v>0</v>
      </c>
      <c r="U4">
        <v>52</v>
      </c>
      <c r="V4">
        <v>2</v>
      </c>
      <c r="W4">
        <v>1</v>
      </c>
      <c r="X4">
        <v>2</v>
      </c>
      <c r="Y4">
        <v>0.6</v>
      </c>
      <c r="Z4">
        <v>0.6</v>
      </c>
      <c r="AA4">
        <v>0.5</v>
      </c>
      <c r="AB4">
        <v>8</v>
      </c>
      <c r="AC4">
        <v>0</v>
      </c>
      <c r="AD4">
        <v>27</v>
      </c>
      <c r="AE4">
        <v>34</v>
      </c>
      <c r="AF4">
        <v>79.400000000000006</v>
      </c>
      <c r="AG4">
        <v>4</v>
      </c>
      <c r="AH4">
        <v>36</v>
      </c>
      <c r="AI4">
        <v>3</v>
      </c>
      <c r="AJ4">
        <v>7</v>
      </c>
      <c r="AK4">
        <v>3</v>
      </c>
      <c r="AL4" t="s">
        <v>62</v>
      </c>
    </row>
    <row r="5" spans="1:38" x14ac:dyDescent="0.45">
      <c r="A5">
        <v>2</v>
      </c>
      <c r="B5" s="2">
        <v>45739</v>
      </c>
      <c r="C5" t="s">
        <v>63</v>
      </c>
      <c r="D5" t="s">
        <v>168</v>
      </c>
      <c r="E5" t="s">
        <v>200</v>
      </c>
      <c r="F5" t="s">
        <v>73</v>
      </c>
      <c r="G5" t="s">
        <v>201</v>
      </c>
      <c r="H5" t="s">
        <v>172</v>
      </c>
      <c r="I5" t="s">
        <v>186</v>
      </c>
      <c r="J5" t="s">
        <v>69</v>
      </c>
      <c r="K5" t="s">
        <v>181</v>
      </c>
      <c r="L5">
        <v>76</v>
      </c>
      <c r="M5">
        <v>1</v>
      </c>
      <c r="N5">
        <v>0</v>
      </c>
      <c r="O5">
        <v>0</v>
      </c>
      <c r="P5">
        <v>0</v>
      </c>
      <c r="Q5">
        <v>5</v>
      </c>
      <c r="R5">
        <v>1</v>
      </c>
      <c r="S5">
        <v>0</v>
      </c>
      <c r="T5">
        <v>0</v>
      </c>
      <c r="W5">
        <v>0</v>
      </c>
      <c r="AL5" t="s">
        <v>62</v>
      </c>
    </row>
    <row r="6" spans="1:38" x14ac:dyDescent="0.45">
      <c r="A6">
        <v>3</v>
      </c>
      <c r="B6" s="2">
        <v>45736</v>
      </c>
      <c r="C6" t="s">
        <v>202</v>
      </c>
      <c r="D6" t="s">
        <v>168</v>
      </c>
      <c r="E6" t="s">
        <v>200</v>
      </c>
      <c r="F6" t="s">
        <v>65</v>
      </c>
      <c r="G6" t="s">
        <v>170</v>
      </c>
      <c r="H6" t="s">
        <v>172</v>
      </c>
      <c r="I6" t="s">
        <v>186</v>
      </c>
      <c r="J6" t="s">
        <v>69</v>
      </c>
      <c r="K6" t="s">
        <v>181</v>
      </c>
      <c r="L6">
        <v>90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AL6" t="s">
        <v>62</v>
      </c>
    </row>
    <row r="7" spans="1:38" x14ac:dyDescent="0.45">
      <c r="A7">
        <v>4</v>
      </c>
      <c r="B7" s="2">
        <v>45731</v>
      </c>
      <c r="C7" t="s">
        <v>77</v>
      </c>
      <c r="D7" t="s">
        <v>194</v>
      </c>
      <c r="E7" t="s">
        <v>93</v>
      </c>
      <c r="F7" t="s">
        <v>65</v>
      </c>
      <c r="G7" t="s">
        <v>178</v>
      </c>
      <c r="H7" t="s">
        <v>195</v>
      </c>
      <c r="I7" t="s">
        <v>203</v>
      </c>
      <c r="J7" t="s">
        <v>69</v>
      </c>
      <c r="K7" t="s">
        <v>181</v>
      </c>
      <c r="L7">
        <v>90</v>
      </c>
      <c r="M7">
        <v>0</v>
      </c>
      <c r="N7">
        <v>0</v>
      </c>
      <c r="O7">
        <v>0</v>
      </c>
      <c r="P7">
        <v>0</v>
      </c>
      <c r="Q7">
        <v>2</v>
      </c>
      <c r="R7">
        <v>1</v>
      </c>
      <c r="S7">
        <v>1</v>
      </c>
      <c r="T7">
        <v>0</v>
      </c>
      <c r="U7">
        <v>64</v>
      </c>
      <c r="V7">
        <v>3</v>
      </c>
      <c r="W7">
        <v>0</v>
      </c>
      <c r="X7">
        <v>2</v>
      </c>
      <c r="Y7">
        <v>0.4</v>
      </c>
      <c r="Z7">
        <v>0.4</v>
      </c>
      <c r="AA7">
        <v>0</v>
      </c>
      <c r="AB7">
        <v>1</v>
      </c>
      <c r="AC7">
        <v>0</v>
      </c>
      <c r="AD7">
        <v>38</v>
      </c>
      <c r="AE7">
        <v>45</v>
      </c>
      <c r="AF7">
        <v>84.4</v>
      </c>
      <c r="AG7">
        <v>5</v>
      </c>
      <c r="AH7">
        <v>45</v>
      </c>
      <c r="AI7">
        <v>1</v>
      </c>
      <c r="AJ7">
        <v>9</v>
      </c>
      <c r="AK7">
        <v>2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77.2</v>
      </c>
      <c r="M8" s="4">
        <f t="shared" ref="M8:AK8" si="0">AVERAGE(M3:M7)</f>
        <v>0.4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2.6</v>
      </c>
      <c r="R8" s="4">
        <f t="shared" si="0"/>
        <v>0.8</v>
      </c>
      <c r="S8" s="4">
        <f t="shared" si="0"/>
        <v>0.2</v>
      </c>
      <c r="T8" s="4">
        <f t="shared" si="0"/>
        <v>0</v>
      </c>
      <c r="U8" s="4">
        <f t="shared" si="0"/>
        <v>50.333333333333336</v>
      </c>
      <c r="V8" s="4">
        <f t="shared" si="0"/>
        <v>1.6666666666666667</v>
      </c>
      <c r="W8" s="4">
        <f t="shared" si="0"/>
        <v>0.4</v>
      </c>
      <c r="X8" s="4">
        <f t="shared" si="0"/>
        <v>1.6666666666666667</v>
      </c>
      <c r="Y8" s="4">
        <f t="shared" si="0"/>
        <v>0.46666666666666662</v>
      </c>
      <c r="Z8" s="4">
        <f t="shared" si="0"/>
        <v>0.46666666666666662</v>
      </c>
      <c r="AA8" s="4">
        <f t="shared" si="0"/>
        <v>0.16666666666666666</v>
      </c>
      <c r="AB8" s="4">
        <f t="shared" si="0"/>
        <v>4.333333333333333</v>
      </c>
      <c r="AC8" s="4">
        <f t="shared" si="0"/>
        <v>0.33333333333333331</v>
      </c>
      <c r="AD8" s="4">
        <f t="shared" si="0"/>
        <v>27.333333333333332</v>
      </c>
      <c r="AE8" s="4">
        <f t="shared" si="0"/>
        <v>33.666666666666664</v>
      </c>
      <c r="AF8" s="4">
        <f t="shared" si="0"/>
        <v>80.36666666666666</v>
      </c>
      <c r="AG8" s="4">
        <f t="shared" si="0"/>
        <v>4</v>
      </c>
      <c r="AH8" s="4">
        <f t="shared" si="0"/>
        <v>33</v>
      </c>
      <c r="AI8" s="4">
        <f t="shared" si="0"/>
        <v>2</v>
      </c>
      <c r="AJ8" s="4">
        <f t="shared" si="0"/>
        <v>6.666666666666667</v>
      </c>
      <c r="AK8" s="4">
        <f t="shared" si="0"/>
        <v>2</v>
      </c>
    </row>
    <row r="9" spans="1:38" x14ac:dyDescent="0.45">
      <c r="A9" t="s">
        <v>245</v>
      </c>
      <c r="M9">
        <f>C12</f>
        <v>0.51</v>
      </c>
      <c r="N9">
        <f>C15</f>
        <v>0.17</v>
      </c>
      <c r="Q9">
        <f>C14</f>
        <v>3.45</v>
      </c>
      <c r="V9">
        <f>C28</f>
        <v>1.93</v>
      </c>
      <c r="W9">
        <f>C29</f>
        <v>0.47</v>
      </c>
      <c r="X9">
        <f>C30</f>
        <v>1.35</v>
      </c>
      <c r="Z9">
        <f>C13</f>
        <v>0.44</v>
      </c>
      <c r="AA9">
        <f>C17</f>
        <v>0.73</v>
      </c>
      <c r="AB9">
        <f>C18</f>
        <v>5.85</v>
      </c>
      <c r="AE9">
        <f>C20</f>
        <v>47.03</v>
      </c>
      <c r="AF9" s="5">
        <f>C21</f>
        <v>0.83</v>
      </c>
      <c r="AG9">
        <f>C22</f>
        <v>5.48</v>
      </c>
      <c r="AK9">
        <f>C24</f>
        <v>3.21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0.51</v>
      </c>
      <c r="D12">
        <v>95</v>
      </c>
    </row>
    <row r="13" spans="1:38" x14ac:dyDescent="0.45">
      <c r="A13">
        <v>1</v>
      </c>
      <c r="B13" t="s">
        <v>127</v>
      </c>
      <c r="C13">
        <v>0.44</v>
      </c>
      <c r="D13">
        <v>96</v>
      </c>
    </row>
    <row r="14" spans="1:38" x14ac:dyDescent="0.45">
      <c r="A14">
        <v>2</v>
      </c>
      <c r="B14" t="s">
        <v>128</v>
      </c>
      <c r="C14">
        <v>3.45</v>
      </c>
      <c r="D14">
        <v>91</v>
      </c>
    </row>
    <row r="15" spans="1:38" x14ac:dyDescent="0.45">
      <c r="A15">
        <v>3</v>
      </c>
      <c r="B15" t="s">
        <v>129</v>
      </c>
      <c r="C15">
        <v>0.17</v>
      </c>
      <c r="D15">
        <v>42</v>
      </c>
    </row>
    <row r="16" spans="1:38" x14ac:dyDescent="0.45">
      <c r="A16">
        <v>4</v>
      </c>
      <c r="B16" t="s">
        <v>130</v>
      </c>
      <c r="C16">
        <v>0.28999999999999998</v>
      </c>
      <c r="D16">
        <v>86</v>
      </c>
    </row>
    <row r="17" spans="1:4" x14ac:dyDescent="0.45">
      <c r="A17">
        <v>5</v>
      </c>
      <c r="B17" t="s">
        <v>131</v>
      </c>
      <c r="C17">
        <v>0.73</v>
      </c>
      <c r="D17">
        <v>95</v>
      </c>
    </row>
    <row r="18" spans="1:4" x14ac:dyDescent="0.45">
      <c r="A18">
        <v>6</v>
      </c>
      <c r="B18" t="s">
        <v>132</v>
      </c>
      <c r="C18">
        <v>5.85</v>
      </c>
      <c r="D18">
        <v>95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47.03</v>
      </c>
      <c r="D20">
        <v>81</v>
      </c>
    </row>
    <row r="21" spans="1:4" x14ac:dyDescent="0.45">
      <c r="A21">
        <v>9</v>
      </c>
      <c r="B21" t="s">
        <v>134</v>
      </c>
      <c r="C21" s="5">
        <v>0.83</v>
      </c>
      <c r="D21">
        <v>92</v>
      </c>
    </row>
    <row r="22" spans="1:4" x14ac:dyDescent="0.45">
      <c r="A22">
        <v>10</v>
      </c>
      <c r="B22" t="s">
        <v>135</v>
      </c>
      <c r="C22">
        <v>5.48</v>
      </c>
      <c r="D22">
        <v>82</v>
      </c>
    </row>
    <row r="23" spans="1:4" x14ac:dyDescent="0.45">
      <c r="A23">
        <v>11</v>
      </c>
      <c r="B23" t="s">
        <v>136</v>
      </c>
      <c r="C23">
        <v>4.0199999999999996</v>
      </c>
      <c r="D23">
        <v>63</v>
      </c>
    </row>
    <row r="24" spans="1:4" x14ac:dyDescent="0.45">
      <c r="A24">
        <v>12</v>
      </c>
      <c r="B24" t="s">
        <v>137</v>
      </c>
      <c r="C24">
        <v>3.21</v>
      </c>
      <c r="D24">
        <v>98</v>
      </c>
    </row>
    <row r="25" spans="1:4" x14ac:dyDescent="0.45">
      <c r="A25">
        <v>13</v>
      </c>
      <c r="B25" t="s">
        <v>138</v>
      </c>
      <c r="C25">
        <v>8.42</v>
      </c>
      <c r="D25">
        <v>97</v>
      </c>
    </row>
    <row r="26" spans="1:4" x14ac:dyDescent="0.45">
      <c r="A26">
        <v>14</v>
      </c>
      <c r="B26" t="s">
        <v>139</v>
      </c>
      <c r="C26">
        <v>7.67</v>
      </c>
      <c r="D26">
        <v>52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1.93</v>
      </c>
      <c r="D28">
        <v>88</v>
      </c>
    </row>
    <row r="29" spans="1:4" x14ac:dyDescent="0.45">
      <c r="A29">
        <v>17</v>
      </c>
      <c r="B29" t="s">
        <v>141</v>
      </c>
      <c r="C29">
        <v>0.47</v>
      </c>
      <c r="D29">
        <v>60</v>
      </c>
    </row>
    <row r="30" spans="1:4" x14ac:dyDescent="0.45">
      <c r="A30">
        <v>18</v>
      </c>
      <c r="B30" t="s">
        <v>51</v>
      </c>
      <c r="C30">
        <v>1.35</v>
      </c>
      <c r="D30">
        <v>91</v>
      </c>
    </row>
    <row r="31" spans="1:4" x14ac:dyDescent="0.45">
      <c r="A31">
        <v>19</v>
      </c>
      <c r="B31" t="s">
        <v>142</v>
      </c>
      <c r="C31">
        <v>0.17</v>
      </c>
      <c r="D31">
        <v>6</v>
      </c>
    </row>
    <row r="32" spans="1:4" x14ac:dyDescent="0.45">
      <c r="A32">
        <v>20</v>
      </c>
      <c r="B32" t="s">
        <v>143</v>
      </c>
      <c r="C32">
        <v>0.44</v>
      </c>
      <c r="D32">
        <v>45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R1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45802</v>
      </c>
      <c r="C3" t="s">
        <v>63</v>
      </c>
      <c r="D3" t="s">
        <v>221</v>
      </c>
      <c r="E3" t="s">
        <v>109</v>
      </c>
      <c r="F3" t="s">
        <v>65</v>
      </c>
      <c r="G3" t="s">
        <v>184</v>
      </c>
      <c r="H3" t="s">
        <v>222</v>
      </c>
      <c r="I3" t="s">
        <v>223</v>
      </c>
      <c r="J3" t="s">
        <v>69</v>
      </c>
      <c r="K3" t="s">
        <v>187</v>
      </c>
      <c r="L3">
        <v>88</v>
      </c>
      <c r="M3">
        <v>2</v>
      </c>
      <c r="N3">
        <v>0</v>
      </c>
      <c r="O3">
        <v>0</v>
      </c>
      <c r="P3">
        <v>0</v>
      </c>
      <c r="Q3">
        <v>5</v>
      </c>
      <c r="R3">
        <v>2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  <c r="Y3">
        <v>2.2999999999999998</v>
      </c>
      <c r="Z3">
        <v>2.2999999999999998</v>
      </c>
      <c r="AA3">
        <v>0</v>
      </c>
      <c r="AB3">
        <v>1</v>
      </c>
      <c r="AC3">
        <v>0</v>
      </c>
      <c r="AD3">
        <v>7</v>
      </c>
      <c r="AE3">
        <v>8</v>
      </c>
      <c r="AF3">
        <v>87.5</v>
      </c>
      <c r="AG3">
        <v>0</v>
      </c>
      <c r="AH3">
        <v>14</v>
      </c>
      <c r="AI3">
        <v>1</v>
      </c>
      <c r="AJ3">
        <v>1</v>
      </c>
      <c r="AK3">
        <v>0</v>
      </c>
      <c r="AL3" t="s">
        <v>62</v>
      </c>
    </row>
    <row r="4" spans="1:38" x14ac:dyDescent="0.45">
      <c r="A4">
        <v>1</v>
      </c>
      <c r="B4" s="2">
        <v>45795</v>
      </c>
      <c r="C4" t="s">
        <v>63</v>
      </c>
      <c r="D4" t="s">
        <v>221</v>
      </c>
      <c r="E4" t="s">
        <v>111</v>
      </c>
      <c r="F4" t="s">
        <v>73</v>
      </c>
      <c r="G4" t="s">
        <v>224</v>
      </c>
      <c r="H4" t="s">
        <v>222</v>
      </c>
      <c r="I4" t="s">
        <v>225</v>
      </c>
      <c r="J4" t="s">
        <v>69</v>
      </c>
      <c r="K4" t="s">
        <v>187</v>
      </c>
      <c r="L4">
        <v>73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19</v>
      </c>
      <c r="V4">
        <v>1</v>
      </c>
      <c r="W4">
        <v>0</v>
      </c>
      <c r="X4">
        <v>0</v>
      </c>
      <c r="Y4">
        <v>0.2</v>
      </c>
      <c r="Z4">
        <v>0.2</v>
      </c>
      <c r="AA4">
        <v>0</v>
      </c>
      <c r="AB4">
        <v>1</v>
      </c>
      <c r="AC4">
        <v>0</v>
      </c>
      <c r="AD4">
        <v>6</v>
      </c>
      <c r="AE4">
        <v>8</v>
      </c>
      <c r="AF4">
        <v>75</v>
      </c>
      <c r="AG4">
        <v>0</v>
      </c>
      <c r="AH4">
        <v>12</v>
      </c>
      <c r="AI4">
        <v>1</v>
      </c>
      <c r="AJ4">
        <v>2</v>
      </c>
      <c r="AK4">
        <v>0</v>
      </c>
      <c r="AL4" t="s">
        <v>62</v>
      </c>
    </row>
    <row r="5" spans="1:38" x14ac:dyDescent="0.45">
      <c r="A5">
        <v>2</v>
      </c>
      <c r="B5" s="2">
        <v>45792</v>
      </c>
      <c r="C5" t="s">
        <v>202</v>
      </c>
      <c r="D5" t="s">
        <v>221</v>
      </c>
      <c r="E5" t="s">
        <v>116</v>
      </c>
      <c r="F5" t="s">
        <v>65</v>
      </c>
      <c r="G5" t="s">
        <v>74</v>
      </c>
      <c r="H5" t="s">
        <v>222</v>
      </c>
      <c r="I5" t="s">
        <v>226</v>
      </c>
      <c r="J5" t="s">
        <v>69</v>
      </c>
      <c r="K5" t="s">
        <v>187</v>
      </c>
      <c r="L5">
        <v>64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18</v>
      </c>
      <c r="V5">
        <v>0</v>
      </c>
      <c r="W5">
        <v>0</v>
      </c>
      <c r="X5">
        <v>0</v>
      </c>
      <c r="Y5">
        <v>0.2</v>
      </c>
      <c r="Z5">
        <v>0.2</v>
      </c>
      <c r="AA5">
        <v>0</v>
      </c>
      <c r="AB5">
        <v>0</v>
      </c>
      <c r="AC5">
        <v>0</v>
      </c>
      <c r="AD5">
        <v>11</v>
      </c>
      <c r="AE5">
        <v>15</v>
      </c>
      <c r="AF5">
        <v>73.3</v>
      </c>
      <c r="AG5">
        <v>0</v>
      </c>
      <c r="AH5">
        <v>10</v>
      </c>
      <c r="AI5">
        <v>0</v>
      </c>
      <c r="AJ5">
        <v>1</v>
      </c>
      <c r="AK5">
        <v>1</v>
      </c>
      <c r="AL5" t="s">
        <v>62</v>
      </c>
    </row>
    <row r="6" spans="1:38" x14ac:dyDescent="0.45">
      <c r="A6">
        <v>3</v>
      </c>
      <c r="B6" s="2">
        <v>45783</v>
      </c>
      <c r="C6" t="s">
        <v>103</v>
      </c>
      <c r="D6" t="s">
        <v>227</v>
      </c>
      <c r="E6" t="s">
        <v>169</v>
      </c>
      <c r="F6" t="s">
        <v>65</v>
      </c>
      <c r="G6" t="s">
        <v>228</v>
      </c>
      <c r="H6" t="s">
        <v>229</v>
      </c>
      <c r="I6" t="s">
        <v>230</v>
      </c>
      <c r="J6" t="s">
        <v>91</v>
      </c>
      <c r="K6" t="s">
        <v>187</v>
      </c>
      <c r="L6">
        <v>31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15</v>
      </c>
      <c r="V6">
        <v>0</v>
      </c>
      <c r="W6">
        <v>0</v>
      </c>
      <c r="X6">
        <v>0</v>
      </c>
      <c r="Y6">
        <v>0.5</v>
      </c>
      <c r="Z6">
        <v>0.5</v>
      </c>
      <c r="AA6">
        <v>0</v>
      </c>
      <c r="AB6">
        <v>2</v>
      </c>
      <c r="AC6">
        <v>0</v>
      </c>
      <c r="AD6">
        <v>7</v>
      </c>
      <c r="AE6">
        <v>11</v>
      </c>
      <c r="AF6">
        <v>63.6</v>
      </c>
      <c r="AG6">
        <v>3</v>
      </c>
      <c r="AH6">
        <v>5</v>
      </c>
      <c r="AI6">
        <v>0</v>
      </c>
      <c r="AJ6">
        <v>0</v>
      </c>
      <c r="AK6">
        <v>0</v>
      </c>
      <c r="AL6" t="s">
        <v>62</v>
      </c>
    </row>
    <row r="7" spans="1:38" x14ac:dyDescent="0.45">
      <c r="A7">
        <v>4</v>
      </c>
      <c r="B7" s="2">
        <v>45766</v>
      </c>
      <c r="C7" t="s">
        <v>77</v>
      </c>
      <c r="D7" t="s">
        <v>221</v>
      </c>
      <c r="E7" t="s">
        <v>231</v>
      </c>
      <c r="F7" t="s">
        <v>73</v>
      </c>
      <c r="G7" t="s">
        <v>232</v>
      </c>
      <c r="H7" t="s">
        <v>222</v>
      </c>
      <c r="I7" t="s">
        <v>233</v>
      </c>
      <c r="J7" t="s">
        <v>69</v>
      </c>
      <c r="K7" t="s">
        <v>187</v>
      </c>
      <c r="L7">
        <v>77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24</v>
      </c>
      <c r="V7">
        <v>1</v>
      </c>
      <c r="W7">
        <v>0</v>
      </c>
      <c r="X7">
        <v>0</v>
      </c>
      <c r="Y7">
        <v>0.1</v>
      </c>
      <c r="Z7">
        <v>0.1</v>
      </c>
      <c r="AA7">
        <v>0</v>
      </c>
      <c r="AB7">
        <v>1</v>
      </c>
      <c r="AC7">
        <v>1</v>
      </c>
      <c r="AD7">
        <v>11</v>
      </c>
      <c r="AE7">
        <v>16</v>
      </c>
      <c r="AF7">
        <v>68.8</v>
      </c>
      <c r="AG7">
        <v>2</v>
      </c>
      <c r="AH7">
        <v>18</v>
      </c>
      <c r="AI7">
        <v>1</v>
      </c>
      <c r="AJ7">
        <v>0</v>
      </c>
      <c r="AK7">
        <v>0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66.599999999999994</v>
      </c>
      <c r="M8" s="4">
        <f t="shared" ref="M8:AK8" si="0">AVERAGE(M3:M7)</f>
        <v>0.4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2.4</v>
      </c>
      <c r="R8" s="4">
        <f t="shared" si="0"/>
        <v>0.6</v>
      </c>
      <c r="S8" s="4">
        <f t="shared" si="0"/>
        <v>0</v>
      </c>
      <c r="T8" s="4">
        <f t="shared" si="0"/>
        <v>0</v>
      </c>
      <c r="U8" s="4">
        <f t="shared" si="0"/>
        <v>18.399999999999999</v>
      </c>
      <c r="V8" s="4">
        <f t="shared" si="0"/>
        <v>0.4</v>
      </c>
      <c r="W8" s="4">
        <f t="shared" si="0"/>
        <v>0</v>
      </c>
      <c r="X8" s="4">
        <f t="shared" si="0"/>
        <v>0</v>
      </c>
      <c r="Y8" s="4">
        <f t="shared" si="0"/>
        <v>0.66</v>
      </c>
      <c r="Z8" s="4">
        <f t="shared" si="0"/>
        <v>0.66</v>
      </c>
      <c r="AA8" s="4">
        <f t="shared" si="0"/>
        <v>0</v>
      </c>
      <c r="AB8" s="4">
        <f t="shared" si="0"/>
        <v>1</v>
      </c>
      <c r="AC8" s="4">
        <f t="shared" si="0"/>
        <v>0.2</v>
      </c>
      <c r="AD8" s="4">
        <f t="shared" si="0"/>
        <v>8.4</v>
      </c>
      <c r="AE8" s="4">
        <f t="shared" si="0"/>
        <v>11.6</v>
      </c>
      <c r="AF8" s="4">
        <f t="shared" si="0"/>
        <v>73.640000000000015</v>
      </c>
      <c r="AG8" s="4">
        <f t="shared" si="0"/>
        <v>1</v>
      </c>
      <c r="AH8" s="4">
        <f t="shared" si="0"/>
        <v>11.8</v>
      </c>
      <c r="AI8" s="4">
        <f t="shared" si="0"/>
        <v>0.6</v>
      </c>
      <c r="AJ8" s="4">
        <f t="shared" si="0"/>
        <v>0.8</v>
      </c>
      <c r="AK8" s="4">
        <f t="shared" si="0"/>
        <v>0.2</v>
      </c>
    </row>
    <row r="9" spans="1:38" x14ac:dyDescent="0.45">
      <c r="A9" t="s">
        <v>245</v>
      </c>
      <c r="M9">
        <f>C12</f>
        <v>0.79</v>
      </c>
      <c r="N9">
        <f>C15</f>
        <v>0.05</v>
      </c>
      <c r="Q9">
        <f>C14</f>
        <v>3.48</v>
      </c>
      <c r="V9">
        <f>C28</f>
        <v>0.37</v>
      </c>
      <c r="W9">
        <f>C29</f>
        <v>0.12</v>
      </c>
      <c r="X9">
        <f>C30</f>
        <v>0.52</v>
      </c>
      <c r="Z9">
        <f>C13</f>
        <v>0.79</v>
      </c>
      <c r="AA9">
        <f>C17</f>
        <v>0.89</v>
      </c>
      <c r="AB9">
        <f>C18</f>
        <v>1.71</v>
      </c>
      <c r="AE9">
        <f>C20</f>
        <v>18.190000000000001</v>
      </c>
      <c r="AF9" s="5">
        <f>C21</f>
        <v>0.73</v>
      </c>
      <c r="AG9">
        <f>C22</f>
        <v>1.85</v>
      </c>
      <c r="AK9">
        <f>C24</f>
        <v>0.56999999999999995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0.79</v>
      </c>
      <c r="D12">
        <v>96</v>
      </c>
    </row>
    <row r="13" spans="1:38" x14ac:dyDescent="0.45">
      <c r="A13">
        <v>1</v>
      </c>
      <c r="B13" t="s">
        <v>127</v>
      </c>
      <c r="C13">
        <v>0.79</v>
      </c>
      <c r="D13">
        <v>98</v>
      </c>
    </row>
    <row r="14" spans="1:38" x14ac:dyDescent="0.45">
      <c r="A14">
        <v>2</v>
      </c>
      <c r="B14" t="s">
        <v>128</v>
      </c>
      <c r="C14">
        <v>3.48</v>
      </c>
      <c r="D14">
        <v>88</v>
      </c>
    </row>
    <row r="15" spans="1:38" x14ac:dyDescent="0.45">
      <c r="A15">
        <v>3</v>
      </c>
      <c r="B15" t="s">
        <v>129</v>
      </c>
      <c r="C15">
        <v>0.05</v>
      </c>
      <c r="D15">
        <v>13</v>
      </c>
    </row>
    <row r="16" spans="1:38" x14ac:dyDescent="0.45">
      <c r="A16">
        <v>4</v>
      </c>
      <c r="B16" t="s">
        <v>130</v>
      </c>
      <c r="C16">
        <v>0.1</v>
      </c>
      <c r="D16">
        <v>43</v>
      </c>
    </row>
    <row r="17" spans="1:4" x14ac:dyDescent="0.45">
      <c r="A17">
        <v>5</v>
      </c>
      <c r="B17" t="s">
        <v>131</v>
      </c>
      <c r="C17">
        <v>0.89</v>
      </c>
      <c r="D17">
        <v>97</v>
      </c>
    </row>
    <row r="18" spans="1:4" x14ac:dyDescent="0.45">
      <c r="A18">
        <v>6</v>
      </c>
      <c r="B18" t="s">
        <v>132</v>
      </c>
      <c r="C18">
        <v>1.71</v>
      </c>
      <c r="D18">
        <v>24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18.190000000000001</v>
      </c>
      <c r="D20">
        <v>35</v>
      </c>
    </row>
    <row r="21" spans="1:4" x14ac:dyDescent="0.45">
      <c r="A21">
        <v>9</v>
      </c>
      <c r="B21" t="s">
        <v>134</v>
      </c>
      <c r="C21" s="5">
        <v>0.73</v>
      </c>
      <c r="D21">
        <v>65</v>
      </c>
    </row>
    <row r="22" spans="1:4" x14ac:dyDescent="0.45">
      <c r="A22">
        <v>10</v>
      </c>
      <c r="B22" t="s">
        <v>135</v>
      </c>
      <c r="C22">
        <v>1.85</v>
      </c>
      <c r="D22">
        <v>61</v>
      </c>
    </row>
    <row r="23" spans="1:4" x14ac:dyDescent="0.45">
      <c r="A23">
        <v>11</v>
      </c>
      <c r="B23" t="s">
        <v>136</v>
      </c>
      <c r="C23">
        <v>0.91</v>
      </c>
      <c r="D23">
        <v>29</v>
      </c>
    </row>
    <row r="24" spans="1:4" x14ac:dyDescent="0.45">
      <c r="A24">
        <v>12</v>
      </c>
      <c r="B24" t="s">
        <v>137</v>
      </c>
      <c r="C24">
        <v>0.56999999999999995</v>
      </c>
      <c r="D24">
        <v>48</v>
      </c>
    </row>
    <row r="25" spans="1:4" x14ac:dyDescent="0.45">
      <c r="A25">
        <v>13</v>
      </c>
      <c r="B25" t="s">
        <v>138</v>
      </c>
      <c r="C25">
        <v>5.91</v>
      </c>
      <c r="D25">
        <v>82</v>
      </c>
    </row>
    <row r="26" spans="1:4" x14ac:dyDescent="0.45">
      <c r="A26">
        <v>14</v>
      </c>
      <c r="B26" t="s">
        <v>139</v>
      </c>
      <c r="C26">
        <v>5.34</v>
      </c>
      <c r="D26">
        <v>53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0.37</v>
      </c>
      <c r="D28">
        <v>22</v>
      </c>
    </row>
    <row r="29" spans="1:4" x14ac:dyDescent="0.45">
      <c r="A29">
        <v>17</v>
      </c>
      <c r="B29" t="s">
        <v>141</v>
      </c>
      <c r="C29">
        <v>0.12</v>
      </c>
      <c r="D29">
        <v>27</v>
      </c>
    </row>
    <row r="30" spans="1:4" x14ac:dyDescent="0.45">
      <c r="A30">
        <v>18</v>
      </c>
      <c r="B30" t="s">
        <v>51</v>
      </c>
      <c r="C30">
        <v>0.52</v>
      </c>
      <c r="D30">
        <v>37</v>
      </c>
    </row>
    <row r="31" spans="1:4" x14ac:dyDescent="0.45">
      <c r="A31">
        <v>19</v>
      </c>
      <c r="B31" t="s">
        <v>142</v>
      </c>
      <c r="C31">
        <v>0.84</v>
      </c>
      <c r="D31">
        <v>60</v>
      </c>
    </row>
    <row r="32" spans="1:4" x14ac:dyDescent="0.45">
      <c r="A32">
        <v>20</v>
      </c>
      <c r="B32" t="s">
        <v>143</v>
      </c>
      <c r="C32">
        <v>1.38</v>
      </c>
      <c r="D32">
        <v>37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S1" workbookViewId="0">
      <selection activeCell="AE8" sqref="AE8:AG9"/>
    </sheetView>
  </sheetViews>
  <sheetFormatPr defaultRowHeight="16.75" x14ac:dyDescent="0.45"/>
  <sheetData>
    <row r="1" spans="1:3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107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25</v>
      </c>
      <c r="AD1" t="s">
        <v>26</v>
      </c>
      <c r="AE1" t="s">
        <v>26</v>
      </c>
      <c r="AF1" t="s">
        <v>26</v>
      </c>
      <c r="AG1" t="s">
        <v>26</v>
      </c>
      <c r="AH1" t="s">
        <v>27</v>
      </c>
      <c r="AI1" t="s">
        <v>27</v>
      </c>
      <c r="AJ1" t="s">
        <v>28</v>
      </c>
      <c r="AK1" t="s">
        <v>28</v>
      </c>
      <c r="AL1" t="s">
        <v>86</v>
      </c>
    </row>
    <row r="2" spans="1:38" x14ac:dyDescent="0.45">
      <c r="B2" t="s">
        <v>30</v>
      </c>
      <c r="C2" t="s">
        <v>31</v>
      </c>
      <c r="D2" t="s">
        <v>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25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27</v>
      </c>
      <c r="AI2" t="s">
        <v>60</v>
      </c>
      <c r="AJ2" t="s">
        <v>57</v>
      </c>
      <c r="AK2" t="s">
        <v>61</v>
      </c>
      <c r="AL2" t="s">
        <v>62</v>
      </c>
    </row>
    <row r="3" spans="1:38" x14ac:dyDescent="0.45">
      <c r="A3">
        <v>0</v>
      </c>
      <c r="B3" s="2">
        <v>45816</v>
      </c>
      <c r="C3" t="s">
        <v>63</v>
      </c>
      <c r="D3" t="s">
        <v>168</v>
      </c>
      <c r="E3" t="s">
        <v>114</v>
      </c>
      <c r="F3" t="s">
        <v>65</v>
      </c>
      <c r="G3" t="s">
        <v>235</v>
      </c>
      <c r="H3" t="s">
        <v>208</v>
      </c>
      <c r="I3" t="s">
        <v>171</v>
      </c>
      <c r="J3" t="s">
        <v>69</v>
      </c>
      <c r="K3" t="s">
        <v>187</v>
      </c>
      <c r="L3">
        <v>104</v>
      </c>
      <c r="M3">
        <v>0</v>
      </c>
      <c r="N3">
        <v>0</v>
      </c>
      <c r="O3">
        <v>0</v>
      </c>
      <c r="P3">
        <v>0</v>
      </c>
      <c r="Q3">
        <v>4</v>
      </c>
      <c r="R3">
        <v>2</v>
      </c>
      <c r="S3">
        <v>0</v>
      </c>
      <c r="T3">
        <v>0</v>
      </c>
      <c r="W3">
        <v>3</v>
      </c>
      <c r="AL3" t="s">
        <v>62</v>
      </c>
    </row>
    <row r="4" spans="1:38" x14ac:dyDescent="0.45">
      <c r="A4">
        <v>1</v>
      </c>
      <c r="B4" s="2">
        <v>45813</v>
      </c>
      <c r="C4" t="s">
        <v>202</v>
      </c>
      <c r="D4" t="s">
        <v>168</v>
      </c>
      <c r="E4" t="s">
        <v>169</v>
      </c>
      <c r="F4" t="s">
        <v>73</v>
      </c>
      <c r="G4" t="s">
        <v>236</v>
      </c>
      <c r="H4" t="s">
        <v>208</v>
      </c>
      <c r="I4" t="s">
        <v>237</v>
      </c>
      <c r="J4" t="s">
        <v>69</v>
      </c>
      <c r="K4" t="s">
        <v>187</v>
      </c>
      <c r="L4">
        <v>90</v>
      </c>
      <c r="M4">
        <v>2</v>
      </c>
      <c r="N4">
        <v>0</v>
      </c>
      <c r="O4">
        <v>1</v>
      </c>
      <c r="P4">
        <v>1</v>
      </c>
      <c r="Q4">
        <v>5</v>
      </c>
      <c r="R4">
        <v>2</v>
      </c>
      <c r="S4">
        <v>1</v>
      </c>
      <c r="T4">
        <v>0</v>
      </c>
      <c r="W4">
        <v>1</v>
      </c>
      <c r="AL4" t="s">
        <v>62</v>
      </c>
    </row>
    <row r="5" spans="1:38" x14ac:dyDescent="0.45">
      <c r="A5">
        <v>2</v>
      </c>
      <c r="B5" s="2">
        <v>45802</v>
      </c>
      <c r="C5" t="s">
        <v>63</v>
      </c>
      <c r="D5" t="s">
        <v>221</v>
      </c>
      <c r="E5" t="s">
        <v>109</v>
      </c>
      <c r="F5" t="s">
        <v>65</v>
      </c>
      <c r="G5" t="s">
        <v>184</v>
      </c>
      <c r="H5" t="s">
        <v>222</v>
      </c>
      <c r="I5" t="s">
        <v>223</v>
      </c>
      <c r="J5" t="s">
        <v>69</v>
      </c>
      <c r="K5" t="s">
        <v>100</v>
      </c>
      <c r="L5">
        <v>90</v>
      </c>
      <c r="M5">
        <v>0</v>
      </c>
      <c r="N5">
        <v>0</v>
      </c>
      <c r="O5">
        <v>0</v>
      </c>
      <c r="P5">
        <v>0</v>
      </c>
      <c r="Q5">
        <v>4</v>
      </c>
      <c r="R5">
        <v>1</v>
      </c>
      <c r="S5">
        <v>0</v>
      </c>
      <c r="T5">
        <v>0</v>
      </c>
      <c r="U5">
        <v>64</v>
      </c>
      <c r="V5">
        <v>0</v>
      </c>
      <c r="W5">
        <v>1</v>
      </c>
      <c r="X5">
        <v>0</v>
      </c>
      <c r="Y5">
        <v>0.3</v>
      </c>
      <c r="Z5">
        <v>0.3</v>
      </c>
      <c r="AA5">
        <v>0</v>
      </c>
      <c r="AB5">
        <v>4</v>
      </c>
      <c r="AC5">
        <v>0</v>
      </c>
      <c r="AD5">
        <v>39</v>
      </c>
      <c r="AE5">
        <v>51</v>
      </c>
      <c r="AF5">
        <v>76.5</v>
      </c>
      <c r="AG5">
        <v>4</v>
      </c>
      <c r="AH5">
        <v>51</v>
      </c>
      <c r="AI5">
        <v>2</v>
      </c>
      <c r="AJ5">
        <v>6</v>
      </c>
      <c r="AK5">
        <v>5</v>
      </c>
      <c r="AL5" t="s">
        <v>62</v>
      </c>
    </row>
    <row r="6" spans="1:38" x14ac:dyDescent="0.45">
      <c r="A6">
        <v>3</v>
      </c>
      <c r="B6" s="2">
        <v>45795</v>
      </c>
      <c r="C6" t="s">
        <v>63</v>
      </c>
      <c r="D6" t="s">
        <v>221</v>
      </c>
      <c r="E6" t="s">
        <v>111</v>
      </c>
      <c r="F6" t="s">
        <v>73</v>
      </c>
      <c r="G6" t="s">
        <v>224</v>
      </c>
      <c r="H6" t="s">
        <v>222</v>
      </c>
      <c r="I6" t="s">
        <v>225</v>
      </c>
      <c r="J6" t="s">
        <v>69</v>
      </c>
      <c r="K6" t="s">
        <v>100</v>
      </c>
      <c r="L6">
        <v>90</v>
      </c>
      <c r="M6">
        <v>1</v>
      </c>
      <c r="N6">
        <v>0</v>
      </c>
      <c r="O6">
        <v>0</v>
      </c>
      <c r="P6">
        <v>0</v>
      </c>
      <c r="Q6">
        <v>9</v>
      </c>
      <c r="R6">
        <v>4</v>
      </c>
      <c r="S6">
        <v>0</v>
      </c>
      <c r="T6">
        <v>0</v>
      </c>
      <c r="U6">
        <v>104</v>
      </c>
      <c r="V6">
        <v>0</v>
      </c>
      <c r="W6">
        <v>1</v>
      </c>
      <c r="X6">
        <v>0</v>
      </c>
      <c r="Y6">
        <v>0.3</v>
      </c>
      <c r="Z6">
        <v>0.3</v>
      </c>
      <c r="AA6">
        <v>0.1</v>
      </c>
      <c r="AB6">
        <v>9</v>
      </c>
      <c r="AC6">
        <v>1</v>
      </c>
      <c r="AD6">
        <v>62</v>
      </c>
      <c r="AE6">
        <v>83</v>
      </c>
      <c r="AF6">
        <v>74.7</v>
      </c>
      <c r="AG6">
        <v>5</v>
      </c>
      <c r="AH6">
        <v>80</v>
      </c>
      <c r="AI6">
        <v>8</v>
      </c>
      <c r="AJ6">
        <v>14</v>
      </c>
      <c r="AK6">
        <v>7</v>
      </c>
      <c r="AL6" t="s">
        <v>62</v>
      </c>
    </row>
    <row r="7" spans="1:38" x14ac:dyDescent="0.45">
      <c r="A7">
        <v>4</v>
      </c>
      <c r="B7" s="2">
        <v>45792</v>
      </c>
      <c r="C7" t="s">
        <v>202</v>
      </c>
      <c r="D7" t="s">
        <v>221</v>
      </c>
      <c r="E7" t="s">
        <v>116</v>
      </c>
      <c r="F7" t="s">
        <v>65</v>
      </c>
      <c r="G7" t="s">
        <v>74</v>
      </c>
      <c r="H7" t="s">
        <v>222</v>
      </c>
      <c r="I7" t="s">
        <v>226</v>
      </c>
      <c r="J7" t="s">
        <v>69</v>
      </c>
      <c r="K7" t="s">
        <v>100</v>
      </c>
      <c r="L7">
        <v>90</v>
      </c>
      <c r="M7">
        <v>1</v>
      </c>
      <c r="N7">
        <v>1</v>
      </c>
      <c r="O7">
        <v>0</v>
      </c>
      <c r="P7">
        <v>0</v>
      </c>
      <c r="Q7">
        <v>5</v>
      </c>
      <c r="R7">
        <v>2</v>
      </c>
      <c r="S7">
        <v>0</v>
      </c>
      <c r="T7">
        <v>0</v>
      </c>
      <c r="U7">
        <v>91</v>
      </c>
      <c r="V7">
        <v>3</v>
      </c>
      <c r="W7">
        <v>0</v>
      </c>
      <c r="X7">
        <v>0</v>
      </c>
      <c r="Y7">
        <v>0.2</v>
      </c>
      <c r="Z7">
        <v>0.2</v>
      </c>
      <c r="AA7">
        <v>0.1</v>
      </c>
      <c r="AB7">
        <v>4</v>
      </c>
      <c r="AC7">
        <v>2</v>
      </c>
      <c r="AD7">
        <v>55</v>
      </c>
      <c r="AE7">
        <v>73</v>
      </c>
      <c r="AF7">
        <v>75.3</v>
      </c>
      <c r="AG7">
        <v>7</v>
      </c>
      <c r="AH7">
        <v>59</v>
      </c>
      <c r="AI7">
        <v>9</v>
      </c>
      <c r="AJ7">
        <v>14</v>
      </c>
      <c r="AK7">
        <v>7</v>
      </c>
      <c r="AL7" t="s">
        <v>62</v>
      </c>
    </row>
    <row r="8" spans="1:38" x14ac:dyDescent="0.45">
      <c r="A8" s="4" t="s">
        <v>122</v>
      </c>
      <c r="B8" s="4"/>
      <c r="C8" s="4"/>
      <c r="D8" s="4"/>
      <c r="E8" s="4"/>
      <c r="F8" s="4"/>
      <c r="G8" s="4"/>
      <c r="H8" s="4"/>
      <c r="I8" s="4"/>
      <c r="J8" s="4"/>
      <c r="K8" s="4"/>
      <c r="L8" s="4">
        <f>AVERAGE(L3:L7)</f>
        <v>92.8</v>
      </c>
      <c r="M8" s="4">
        <f t="shared" ref="M8:AK8" si="0">AVERAGE(M3:M7)</f>
        <v>0.8</v>
      </c>
      <c r="N8" s="4">
        <f t="shared" si="0"/>
        <v>0.2</v>
      </c>
      <c r="O8" s="4">
        <f t="shared" si="0"/>
        <v>0.2</v>
      </c>
      <c r="P8" s="4">
        <f t="shared" si="0"/>
        <v>0.2</v>
      </c>
      <c r="Q8" s="4">
        <f t="shared" si="0"/>
        <v>5.4</v>
      </c>
      <c r="R8" s="4">
        <f t="shared" si="0"/>
        <v>2.2000000000000002</v>
      </c>
      <c r="S8" s="4">
        <f t="shared" si="0"/>
        <v>0.2</v>
      </c>
      <c r="T8" s="4">
        <f t="shared" si="0"/>
        <v>0</v>
      </c>
      <c r="U8" s="4">
        <f t="shared" si="0"/>
        <v>86.333333333333329</v>
      </c>
      <c r="V8" s="4">
        <f t="shared" si="0"/>
        <v>1</v>
      </c>
      <c r="W8" s="4">
        <f t="shared" si="0"/>
        <v>1.2</v>
      </c>
      <c r="X8" s="4">
        <f t="shared" si="0"/>
        <v>0</v>
      </c>
      <c r="Y8" s="4">
        <f t="shared" si="0"/>
        <v>0.26666666666666666</v>
      </c>
      <c r="Z8" s="4">
        <f t="shared" si="0"/>
        <v>0.26666666666666666</v>
      </c>
      <c r="AA8" s="4">
        <f t="shared" si="0"/>
        <v>6.6666666666666666E-2</v>
      </c>
      <c r="AB8" s="4">
        <f t="shared" si="0"/>
        <v>5.666666666666667</v>
      </c>
      <c r="AC8" s="4">
        <f t="shared" si="0"/>
        <v>1</v>
      </c>
      <c r="AD8" s="4">
        <f t="shared" si="0"/>
        <v>52</v>
      </c>
      <c r="AE8" s="4">
        <f t="shared" si="0"/>
        <v>69</v>
      </c>
      <c r="AF8" s="4">
        <f t="shared" si="0"/>
        <v>75.5</v>
      </c>
      <c r="AG8" s="4">
        <f t="shared" si="0"/>
        <v>5.333333333333333</v>
      </c>
      <c r="AH8" s="4">
        <f t="shared" si="0"/>
        <v>63.333333333333336</v>
      </c>
      <c r="AI8" s="4">
        <f t="shared" si="0"/>
        <v>6.333333333333333</v>
      </c>
      <c r="AJ8" s="4">
        <f t="shared" si="0"/>
        <v>11.333333333333334</v>
      </c>
      <c r="AK8" s="4">
        <f t="shared" si="0"/>
        <v>6.333333333333333</v>
      </c>
    </row>
    <row r="9" spans="1:38" x14ac:dyDescent="0.45">
      <c r="A9" t="s">
        <v>245</v>
      </c>
      <c r="M9">
        <f>C12</f>
        <v>0.32</v>
      </c>
      <c r="N9">
        <f>C15</f>
        <v>0.36</v>
      </c>
      <c r="Q9">
        <f>C14</f>
        <v>4.49</v>
      </c>
      <c r="V9">
        <f>C28</f>
        <v>1.3</v>
      </c>
      <c r="W9">
        <f>C29</f>
        <v>0.46</v>
      </c>
      <c r="X9">
        <f>C30</f>
        <v>0.5</v>
      </c>
      <c r="Z9">
        <f>C13</f>
        <v>0.32</v>
      </c>
      <c r="AA9">
        <f>C17</f>
        <v>0.69</v>
      </c>
      <c r="AB9">
        <f>C18</f>
        <v>5.61</v>
      </c>
      <c r="AE9">
        <f>C20</f>
        <v>47.98</v>
      </c>
      <c r="AF9" s="5">
        <f>C21</f>
        <v>0.747</v>
      </c>
      <c r="AG9">
        <f>C22</f>
        <v>5.0599999999999996</v>
      </c>
      <c r="AK9">
        <f>C24</f>
        <v>4.9400000000000004</v>
      </c>
    </row>
    <row r="11" spans="1:38" x14ac:dyDescent="0.45">
      <c r="B11" t="s">
        <v>123</v>
      </c>
      <c r="C11" t="s">
        <v>124</v>
      </c>
      <c r="D11" t="s">
        <v>125</v>
      </c>
    </row>
    <row r="12" spans="1:38" x14ac:dyDescent="0.45">
      <c r="A12">
        <v>0</v>
      </c>
      <c r="B12" t="s">
        <v>126</v>
      </c>
      <c r="C12">
        <v>0.32</v>
      </c>
      <c r="D12">
        <v>70</v>
      </c>
    </row>
    <row r="13" spans="1:38" x14ac:dyDescent="0.45">
      <c r="A13">
        <v>1</v>
      </c>
      <c r="B13" t="s">
        <v>127</v>
      </c>
      <c r="C13">
        <v>0.32</v>
      </c>
      <c r="D13">
        <v>79</v>
      </c>
    </row>
    <row r="14" spans="1:38" x14ac:dyDescent="0.45">
      <c r="A14">
        <v>2</v>
      </c>
      <c r="B14" t="s">
        <v>128</v>
      </c>
      <c r="C14">
        <v>4.49</v>
      </c>
      <c r="D14">
        <v>99</v>
      </c>
    </row>
    <row r="15" spans="1:38" x14ac:dyDescent="0.45">
      <c r="A15">
        <v>3</v>
      </c>
      <c r="B15" t="s">
        <v>129</v>
      </c>
      <c r="C15">
        <v>0.36</v>
      </c>
      <c r="D15">
        <v>89</v>
      </c>
    </row>
    <row r="16" spans="1:38" x14ac:dyDescent="0.45">
      <c r="A16">
        <v>4</v>
      </c>
      <c r="B16" t="s">
        <v>130</v>
      </c>
      <c r="C16">
        <v>0.37</v>
      </c>
      <c r="D16">
        <v>95</v>
      </c>
    </row>
    <row r="17" spans="1:4" x14ac:dyDescent="0.45">
      <c r="A17">
        <v>5</v>
      </c>
      <c r="B17" t="s">
        <v>131</v>
      </c>
      <c r="C17">
        <v>0.69</v>
      </c>
      <c r="D17">
        <v>92</v>
      </c>
    </row>
    <row r="18" spans="1:4" x14ac:dyDescent="0.45">
      <c r="A18">
        <v>6</v>
      </c>
      <c r="B18" t="s">
        <v>132</v>
      </c>
      <c r="C18">
        <v>5.61</v>
      </c>
      <c r="D18">
        <v>93</v>
      </c>
    </row>
    <row r="19" spans="1:4" x14ac:dyDescent="0.45">
      <c r="A19">
        <v>7</v>
      </c>
    </row>
    <row r="20" spans="1:4" x14ac:dyDescent="0.45">
      <c r="A20">
        <v>8</v>
      </c>
      <c r="B20" t="s">
        <v>133</v>
      </c>
      <c r="C20">
        <v>47.98</v>
      </c>
      <c r="D20">
        <v>86</v>
      </c>
    </row>
    <row r="21" spans="1:4" x14ac:dyDescent="0.45">
      <c r="A21">
        <v>9</v>
      </c>
      <c r="B21" t="s">
        <v>134</v>
      </c>
      <c r="C21" s="5">
        <v>0.747</v>
      </c>
      <c r="D21">
        <v>41</v>
      </c>
    </row>
    <row r="22" spans="1:4" x14ac:dyDescent="0.45">
      <c r="A22">
        <v>10</v>
      </c>
      <c r="B22" t="s">
        <v>135</v>
      </c>
      <c r="C22">
        <v>5.0599999999999996</v>
      </c>
      <c r="D22">
        <v>76</v>
      </c>
    </row>
    <row r="23" spans="1:4" x14ac:dyDescent="0.45">
      <c r="A23">
        <v>11</v>
      </c>
      <c r="B23" t="s">
        <v>136</v>
      </c>
      <c r="C23">
        <v>5.81</v>
      </c>
      <c r="D23">
        <v>96</v>
      </c>
    </row>
    <row r="24" spans="1:4" x14ac:dyDescent="0.45">
      <c r="A24">
        <v>12</v>
      </c>
      <c r="B24" t="s">
        <v>137</v>
      </c>
      <c r="C24">
        <v>4.9400000000000004</v>
      </c>
      <c r="D24">
        <v>99</v>
      </c>
    </row>
    <row r="25" spans="1:4" x14ac:dyDescent="0.45">
      <c r="A25">
        <v>13</v>
      </c>
      <c r="B25" t="s">
        <v>138</v>
      </c>
      <c r="C25">
        <v>6.93</v>
      </c>
      <c r="D25">
        <v>92</v>
      </c>
    </row>
    <row r="26" spans="1:4" x14ac:dyDescent="0.45">
      <c r="A26">
        <v>14</v>
      </c>
      <c r="B26" t="s">
        <v>139</v>
      </c>
      <c r="C26">
        <v>13.33</v>
      </c>
      <c r="D26">
        <v>97</v>
      </c>
    </row>
    <row r="27" spans="1:4" x14ac:dyDescent="0.45">
      <c r="A27">
        <v>15</v>
      </c>
    </row>
    <row r="28" spans="1:4" x14ac:dyDescent="0.45">
      <c r="A28">
        <v>16</v>
      </c>
      <c r="B28" t="s">
        <v>140</v>
      </c>
      <c r="C28">
        <v>1.3</v>
      </c>
      <c r="D28">
        <v>50</v>
      </c>
    </row>
    <row r="29" spans="1:4" x14ac:dyDescent="0.45">
      <c r="A29">
        <v>17</v>
      </c>
      <c r="B29" t="s">
        <v>141</v>
      </c>
      <c r="C29">
        <v>0.46</v>
      </c>
      <c r="D29">
        <v>57</v>
      </c>
    </row>
    <row r="30" spans="1:4" x14ac:dyDescent="0.45">
      <c r="A30">
        <v>18</v>
      </c>
      <c r="B30" t="s">
        <v>51</v>
      </c>
      <c r="C30">
        <v>0.5</v>
      </c>
      <c r="D30">
        <v>11</v>
      </c>
    </row>
    <row r="31" spans="1:4" x14ac:dyDescent="0.45">
      <c r="A31">
        <v>19</v>
      </c>
      <c r="B31" t="s">
        <v>142</v>
      </c>
      <c r="C31">
        <v>0.11</v>
      </c>
      <c r="D31">
        <v>1</v>
      </c>
    </row>
    <row r="32" spans="1:4" x14ac:dyDescent="0.45">
      <c r="A32">
        <v>20</v>
      </c>
      <c r="B32" t="s">
        <v>143</v>
      </c>
      <c r="C32">
        <v>0.05</v>
      </c>
      <c r="D32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75" x14ac:dyDescent="0.45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75" x14ac:dyDescent="0.45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75" x14ac:dyDescent="0.45"/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6.75" x14ac:dyDescent="0.45"/>
  <sheetData>
    <row r="1" spans="1:37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23</v>
      </c>
      <c r="N1" t="s">
        <v>23</v>
      </c>
      <c r="O1" t="s">
        <v>23</v>
      </c>
      <c r="P1" t="s">
        <v>23</v>
      </c>
      <c r="Q1" t="s">
        <v>23</v>
      </c>
      <c r="R1" t="s">
        <v>23</v>
      </c>
      <c r="S1" t="s">
        <v>23</v>
      </c>
      <c r="T1" t="s">
        <v>23</v>
      </c>
      <c r="U1" t="s">
        <v>23</v>
      </c>
      <c r="V1" t="s">
        <v>23</v>
      </c>
      <c r="W1" t="s">
        <v>23</v>
      </c>
      <c r="X1" t="s">
        <v>24</v>
      </c>
      <c r="Y1" t="s">
        <v>24</v>
      </c>
      <c r="Z1" t="s">
        <v>24</v>
      </c>
      <c r="AA1" t="s">
        <v>25</v>
      </c>
      <c r="AB1" t="s">
        <v>25</v>
      </c>
      <c r="AC1" t="s">
        <v>26</v>
      </c>
      <c r="AD1" t="s">
        <v>26</v>
      </c>
      <c r="AE1" t="s">
        <v>26</v>
      </c>
      <c r="AF1" t="s">
        <v>26</v>
      </c>
      <c r="AG1" t="s">
        <v>27</v>
      </c>
      <c r="AH1" t="s">
        <v>27</v>
      </c>
      <c r="AI1" t="s">
        <v>28</v>
      </c>
      <c r="AJ1" t="s">
        <v>28</v>
      </c>
      <c r="AK1" t="s">
        <v>29</v>
      </c>
    </row>
    <row r="2" spans="1:37" x14ac:dyDescent="0.45"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25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27</v>
      </c>
      <c r="AH2" t="s">
        <v>60</v>
      </c>
      <c r="AI2" t="s">
        <v>57</v>
      </c>
      <c r="AJ2" t="s">
        <v>61</v>
      </c>
      <c r="AK2" t="s">
        <v>62</v>
      </c>
    </row>
    <row r="3" spans="1:37" x14ac:dyDescent="0.45">
      <c r="A3">
        <v>0</v>
      </c>
      <c r="B3" s="2">
        <v>45753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91</v>
      </c>
      <c r="J3" t="s">
        <v>89</v>
      </c>
      <c r="K3">
        <v>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19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11</v>
      </c>
      <c r="AD3">
        <v>13</v>
      </c>
      <c r="AE3">
        <v>84.6</v>
      </c>
      <c r="AF3">
        <v>2</v>
      </c>
      <c r="AG3">
        <v>13</v>
      </c>
      <c r="AH3">
        <v>0</v>
      </c>
      <c r="AI3">
        <v>1</v>
      </c>
      <c r="AJ3">
        <v>0</v>
      </c>
      <c r="AK3" t="s">
        <v>62</v>
      </c>
    </row>
    <row r="4" spans="1:37" x14ac:dyDescent="0.45">
      <c r="A4">
        <v>1</v>
      </c>
      <c r="B4" s="2">
        <v>45749</v>
      </c>
      <c r="C4" t="s">
        <v>71</v>
      </c>
      <c r="D4" t="s">
        <v>72</v>
      </c>
      <c r="E4" t="s">
        <v>73</v>
      </c>
      <c r="F4" t="s">
        <v>74</v>
      </c>
      <c r="G4" t="s">
        <v>67</v>
      </c>
      <c r="H4" t="s">
        <v>75</v>
      </c>
      <c r="I4" t="s">
        <v>91</v>
      </c>
      <c r="J4" t="s">
        <v>98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2</v>
      </c>
      <c r="AE4">
        <v>50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62</v>
      </c>
    </row>
    <row r="5" spans="1:37" x14ac:dyDescent="0.45">
      <c r="A5">
        <v>2</v>
      </c>
      <c r="B5" s="2">
        <v>45731</v>
      </c>
      <c r="C5" t="s">
        <v>77</v>
      </c>
      <c r="D5" t="s">
        <v>78</v>
      </c>
      <c r="E5" t="s">
        <v>73</v>
      </c>
      <c r="F5" t="s">
        <v>79</v>
      </c>
      <c r="G5" t="s">
        <v>67</v>
      </c>
      <c r="H5" t="s">
        <v>80</v>
      </c>
      <c r="I5" t="s">
        <v>69</v>
      </c>
      <c r="J5" t="s">
        <v>99</v>
      </c>
      <c r="K5">
        <v>90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70</v>
      </c>
      <c r="U5">
        <v>2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50</v>
      </c>
      <c r="AD5">
        <v>59</v>
      </c>
      <c r="AE5">
        <v>84.7</v>
      </c>
      <c r="AF5">
        <v>3</v>
      </c>
      <c r="AG5">
        <v>29</v>
      </c>
      <c r="AH5">
        <v>0</v>
      </c>
      <c r="AI5">
        <v>0</v>
      </c>
      <c r="AJ5">
        <v>0</v>
      </c>
      <c r="AK5" t="s">
        <v>62</v>
      </c>
    </row>
    <row r="6" spans="1:37" x14ac:dyDescent="0.45">
      <c r="A6">
        <v>3</v>
      </c>
      <c r="B6" s="2">
        <v>45724</v>
      </c>
      <c r="C6" t="s">
        <v>77</v>
      </c>
      <c r="D6" t="s">
        <v>81</v>
      </c>
      <c r="E6" t="s">
        <v>65</v>
      </c>
      <c r="F6" t="s">
        <v>82</v>
      </c>
      <c r="G6" t="s">
        <v>67</v>
      </c>
      <c r="H6" t="s">
        <v>83</v>
      </c>
      <c r="I6" t="s">
        <v>91</v>
      </c>
      <c r="J6" t="s">
        <v>99</v>
      </c>
      <c r="K6">
        <v>30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19</v>
      </c>
      <c r="AD6">
        <v>21</v>
      </c>
      <c r="AE6">
        <v>90.5</v>
      </c>
      <c r="AF6">
        <v>2</v>
      </c>
      <c r="AG6">
        <v>14</v>
      </c>
      <c r="AH6">
        <v>2</v>
      </c>
      <c r="AI6">
        <v>2</v>
      </c>
      <c r="AJ6">
        <v>2</v>
      </c>
      <c r="AK6" t="s">
        <v>62</v>
      </c>
    </row>
    <row r="7" spans="1:37" x14ac:dyDescent="0.45">
      <c r="A7">
        <v>4</v>
      </c>
      <c r="B7" s="2">
        <v>45711</v>
      </c>
      <c r="C7" t="s">
        <v>63</v>
      </c>
      <c r="D7" t="s">
        <v>93</v>
      </c>
      <c r="E7" t="s">
        <v>73</v>
      </c>
      <c r="F7" t="s">
        <v>88</v>
      </c>
      <c r="G7" t="s">
        <v>67</v>
      </c>
      <c r="H7" t="s">
        <v>94</v>
      </c>
      <c r="I7" t="s">
        <v>69</v>
      </c>
      <c r="J7" t="s">
        <v>99</v>
      </c>
      <c r="K7">
        <v>90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94</v>
      </c>
      <c r="U7">
        <v>1</v>
      </c>
      <c r="V7">
        <v>0</v>
      </c>
      <c r="W7">
        <v>1</v>
      </c>
      <c r="X7">
        <v>0.2</v>
      </c>
      <c r="Y7">
        <v>0.2</v>
      </c>
      <c r="Z7">
        <v>0</v>
      </c>
      <c r="AA7">
        <v>3</v>
      </c>
      <c r="AB7">
        <v>0</v>
      </c>
      <c r="AC7">
        <v>83</v>
      </c>
      <c r="AD7">
        <v>87</v>
      </c>
      <c r="AE7">
        <v>95.4</v>
      </c>
      <c r="AF7">
        <v>6</v>
      </c>
      <c r="AG7">
        <v>60</v>
      </c>
      <c r="AH7">
        <v>0</v>
      </c>
      <c r="AI7">
        <v>1</v>
      </c>
      <c r="AJ7">
        <v>0</v>
      </c>
      <c r="AK7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name to web</vt:lpstr>
      <vt:lpstr>球員儀表板 (Dashboard)</vt:lpstr>
      <vt:lpstr>important data</vt:lpstr>
      <vt:lpstr>Ruben Dias</vt:lpstr>
      <vt:lpstr>Josko Gvardiol</vt:lpstr>
      <vt:lpstr>Kevin De Bruyne</vt:lpstr>
      <vt:lpstr>Mateo Kovacic</vt:lpstr>
      <vt:lpstr>Bernardo Silva</vt:lpstr>
      <vt:lpstr>Erling Haaland</vt:lpstr>
      <vt:lpstr>Jamal Musiala</vt:lpstr>
      <vt:lpstr>Robert Lewandowski</vt:lpstr>
      <vt:lpstr>Lamine Yamal</vt:lpstr>
      <vt:lpstr>Omar Marmoush</vt:lpstr>
      <vt:lpstr>Matheus Nunes</vt:lpstr>
      <vt:lpstr>Ilkay Gundogan</vt:lpstr>
      <vt:lpstr>Rico Lewis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葉陽甫</dc:creator>
  <cp:lastModifiedBy>葉陽甫</cp:lastModifiedBy>
  <dcterms:created xsi:type="dcterms:W3CDTF">2025-04-10T13:49:50Z</dcterms:created>
  <dcterms:modified xsi:type="dcterms:W3CDTF">2025-08-01T05:58:29Z</dcterms:modified>
</cp:coreProperties>
</file>